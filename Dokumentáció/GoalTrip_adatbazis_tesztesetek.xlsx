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9768a1cf4f48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ztesetek" sheetId="1" r:id="Re51f07c9ee814f2d"/>
    <x:sheet xmlns:r="http://schemas.openxmlformats.org/officeDocument/2006/relationships" name="Osszegzes" sheetId="2" r:id="Ra3ac1184090147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ill>
        <x:patternFill patternType="solid">
          <x:bgColor rgb="DCFCE7"/>
        </x:patternFill>
      </x:fill>
    </x:dxf>
    <x:dxf>
      <x:fill>
        <x:patternFill patternType="solid">
          <x:bgColor rgb="FECACA"/>
        </x:patternFill>
      </x:fill>
    </x:dxf>
    <x:dxf>
      <x:fill>
        <x:patternFill patternType="solid">
          <x:bgColor rgb="FDE68A"/>
        </x:patternFill>
      </x:fill>
    </x:dxf>
    <x:dxf>
      <x:fill>
        <x:patternFill patternType="solid">
          <x:bgColor rgb="DBEAFE"/>
        </x:patternFill>
      </x:fill>
    </x:dxf>
    <x:dxf>
      <x:fill>
        <x:patternFill patternType="solid">
          <x:bgColor rgb="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91ad24b1e84088" /><Relationship Type="http://schemas.openxmlformats.org/officeDocument/2006/relationships/theme" Target="/xl/theme/theme1.xml" Id="Rd28be4f00aaa448d" /><Relationship Type="http://schemas.openxmlformats.org/officeDocument/2006/relationships/sharedStrings" Target="/xl/sharedStrings.xml" Id="R09086edd41594825" /><Relationship Type="http://schemas.openxmlformats.org/officeDocument/2006/relationships/worksheet" Target="/xl/worksheets/sheet1.xml" Id="Re51f07c9ee814f2d" /><Relationship Type="http://schemas.openxmlformats.org/officeDocument/2006/relationships/worksheet" Target="/xl/worksheets/sheet2.xml" Id="Ra3ac1184090147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f746bc1538b4d0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Tesztesetek modulonkent</a:t>
            </a:r>
          </a:p>
        </c:rich>
      </c:tx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Ref>
              <c:f>'Osszegzes'!$D$10:$D$24</c:f>
              <c:strCache>
                <c:ptCount val="0"/>
              </c:strCache>
            </c:strRef>
          </c:cat>
          <c:val>
            <c:numRef>
              <c:f>'Osszegzes'!$E$10:$E$24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f746bc1538b4d0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esztesetekTabla" displayName="TesztesetekTabla" ref="A1:K101" headerRowCount="1">
  <x:tableColumns count="11">
    <x:tableColumn id="1" name="Teszt azonosito"/>
    <x:tableColumn id="2" name="Modul"/>
    <x:tableColumn id="3" name="Teszt neve"/>
    <x:tableColumn id="4" name="Teszt tipusa"/>
    <x:tableColumn id="5" name="Prioritas"/>
    <x:tableColumn id="6" name="Elofeltetel"/>
    <x:tableColumn id="7" name="Tesztlepesek / bemenet"/>
    <x:tableColumn id="8" name="Elvart eredmeny"/>
    <x:tableColumn id="9" name="Tenyleges eredmeny"/>
    <x:tableColumn id="10" name="Allapot"/>
    <x:tableColumn id="11" name="Megjegyz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fe8da64782f434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b0836e55492043d7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30" hidden="0" customWidth="1"/>
    <x:col min="4" max="4" width="14" hidden="0" customWidth="1"/>
    <x:col min="5" max="5" width="12" hidden="0" customWidth="1"/>
    <x:col min="6" max="6" width="28" hidden="0" customWidth="1"/>
    <x:col min="7" max="7" width="42" hidden="0" customWidth="1"/>
    <x:col min="8" max="8" width="36" hidden="0" customWidth="1"/>
    <x:col min="9" max="9" width="28" hidden="0" customWidth="1"/>
    <x:col min="10" max="10" width="12" hidden="0" customWidth="1"/>
    <x:col min="11" max="11" width="24" hidden="0" customWidth="1"/>
  </x:cols>
  <x:sheetData>
    <x:row r="1">
      <x:c r="A1" s="5" t="str">
        <x:v>Teszt azonosito</x:v>
      </x:c>
      <x:c r="B1" s="5" t="str">
        <x:v>Modul</x:v>
      </x:c>
      <x:c r="C1" s="5" t="str">
        <x:v>Teszt neve</x:v>
      </x:c>
      <x:c r="D1" s="5" t="str">
        <x:v>Teszt tipusa</x:v>
      </x:c>
      <x:c r="E1" s="5" t="str">
        <x:v>Prioritas</x:v>
      </x:c>
      <x:c r="F1" s="5" t="str">
        <x:v>Elofeltetel</x:v>
      </x:c>
      <x:c r="G1" s="5" t="str">
        <x:v>Tesztlepesek / bemenet</x:v>
      </x:c>
      <x:c r="H1" s="5" t="str">
        <x:v>Elvart eredmeny</x:v>
      </x:c>
      <x:c r="I1" s="5" t="str">
        <x:v>Tenyleges eredmeny</x:v>
      </x:c>
      <x:c r="J1" s="5" t="str">
        <x:v>Allapot</x:v>
      </x:c>
      <x:c r="K1" s="5" t="str">
        <x:v>Megjegyzes</x:v>
      </x:c>
    </x:row>
    <x:row r="2">
      <x:c r="A2" s="7" t="str">
        <x:v>TC_DB_001</x:v>
      </x:c>
      <x:c r="B2" s="7" t="str">
        <x:v>Schema</x:v>
      </x:c>
      <x:c r="C2" s="7" t="str">
        <x:v>Tabla letrehozas - jogosultsagok</x:v>
      </x:c>
      <x:c r="D2" s="7" t="str">
        <x:v>Strukturalis</x:v>
      </x:c>
      <x:c r="E2" s="7" t="str">
        <x:v>Magas</x:v>
      </x:c>
      <x:c r="F2" s="7" t="str">
        <x:v>Ures adatbazis</x:v>
      </x:c>
      <x:c r="G2" s="7" t="str">
        <x:v>CREATE TABLE jogosultsagok futtatasa</x:v>
      </x:c>
      <x:c r="H2" s="7" t="str">
        <x:v>A tabla hiba nelkul letrejon.</x:v>
      </x:c>
      <x:c r="I2" s="7" t="str">
        <x:v>Megfeleloen mukodott a teszt soran.</x:v>
      </x:c>
      <x:c r="J2" s="7" t="str">
        <x:v>Sikeres</x:v>
      </x:c>
      <x:c r="K2" s="7" t="str"/>
    </x:row>
    <x:row r="3">
      <x:c r="A3" s="7" t="str">
        <x:v>TC_DB_002</x:v>
      </x:c>
      <x:c r="B3" s="7" t="str">
        <x:v>Schema</x:v>
      </x:c>
      <x:c r="C3" s="7" t="str">
        <x:v>Tabla letrehozas - felhasznalok</x:v>
      </x:c>
      <x:c r="D3" s="7" t="str">
        <x:v>Strukturalis</x:v>
      </x:c>
      <x:c r="E3" s="7" t="str">
        <x:v>Magas</x:v>
      </x:c>
      <x:c r="F3" s="7" t="str">
        <x:v>jogosultsagok tabla letezik</x:v>
      </x:c>
      <x:c r="G3" s="7" t="str">
        <x:v>CREATE TABLE felhasznalok futtatasa FK-val</x:v>
      </x:c>
      <x:c r="H3" s="7" t="str">
        <x:v>A tabla letrejon, az FK ervenyes.</x:v>
      </x:c>
      <x:c r="I3" s="7" t="str">
        <x:v>Megfeleloen mukodott a teszt soran.</x:v>
      </x:c>
      <x:c r="J3" s="7" t="str">
        <x:v>Sikeres</x:v>
      </x:c>
      <x:c r="K3" s="7" t="str"/>
    </x:row>
    <x:row r="4">
      <x:c r="A4" s="7" t="str">
        <x:v>TC_DB_003</x:v>
      </x:c>
      <x:c r="B4" s="7" t="str">
        <x:v>Schema</x:v>
      </x:c>
      <x:c r="C4" s="7" t="str">
        <x:v>Tabla letrehozas - kategoria</x:v>
      </x:c>
      <x:c r="D4" s="7" t="str">
        <x:v>Strukturalis</x:v>
      </x:c>
      <x:c r="E4" s="7" t="str">
        <x:v>Magas</x:v>
      </x:c>
      <x:c r="F4" s="7" t="str">
        <x:v>Ures adatbazis</x:v>
      </x:c>
      <x:c r="G4" s="7" t="str">
        <x:v>CREATE TABLE kategoria futtatasa</x:v>
      </x:c>
      <x:c r="H4" s="7" t="str">
        <x:v>A tabla hiba nelkul letrejon.</x:v>
      </x:c>
      <x:c r="I4" s="7" t="str">
        <x:v>Megfeleloen mukodott a teszt soran.</x:v>
      </x:c>
      <x:c r="J4" s="7" t="str">
        <x:v>Sikeres</x:v>
      </x:c>
      <x:c r="K4" s="7" t="str"/>
    </x:row>
    <x:row r="5">
      <x:c r="A5" s="7" t="str">
        <x:v>TC_DB_004</x:v>
      </x:c>
      <x:c r="B5" s="7" t="str">
        <x:v>Schema</x:v>
      </x:c>
      <x:c r="C5" s="7" t="str">
        <x:v>Tabla letrehozas - meretek</x:v>
      </x:c>
      <x:c r="D5" s="7" t="str">
        <x:v>Strukturalis</x:v>
      </x:c>
      <x:c r="E5" s="7" t="str">
        <x:v>Magas</x:v>
      </x:c>
      <x:c r="F5" s="7" t="str">
        <x:v>Ures adatbazis</x:v>
      </x:c>
      <x:c r="G5" s="7" t="str">
        <x:v>CREATE TABLE meretek futtatasa</x:v>
      </x:c>
      <x:c r="H5" s="7" t="str">
        <x:v>A tabla letrejon.</x:v>
      </x:c>
      <x:c r="I5" s="7" t="str">
        <x:v>Megfeleloen mukodott a teszt soran.</x:v>
      </x:c>
      <x:c r="J5" s="7" t="str">
        <x:v>Sikeres</x:v>
      </x:c>
      <x:c r="K5" s="7" t="str"/>
    </x:row>
    <x:row r="6">
      <x:c r="A6" s="7" t="str">
        <x:v>TC_DB_005</x:v>
      </x:c>
      <x:c r="B6" s="7" t="str">
        <x:v>Schema</x:v>
      </x:c>
      <x:c r="C6" s="7" t="str">
        <x:v>Tabla letrehozas - termekek</x:v>
      </x:c>
      <x:c r="D6" s="7" t="str">
        <x:v>Strukturalis</x:v>
      </x:c>
      <x:c r="E6" s="7" t="str">
        <x:v>Magas</x:v>
      </x:c>
      <x:c r="F6" s="7" t="str">
        <x:v>kategoria tabla letezik</x:v>
      </x:c>
      <x:c r="G6" s="7" t="str">
        <x:v>CREATE TABLE termekek futtatasa</x:v>
      </x:c>
      <x:c r="H6" s="7" t="str">
        <x:v>A tabla letrejon es FK kapcsolat mukodik.</x:v>
      </x:c>
      <x:c r="I6" s="7" t="str">
        <x:v>Megfeleloen mukodott a teszt soran.</x:v>
      </x:c>
      <x:c r="J6" s="7" t="str">
        <x:v>Sikeres</x:v>
      </x:c>
      <x:c r="K6" s="7" t="str"/>
    </x:row>
    <x:row r="7">
      <x:c r="A7" s="7" t="str">
        <x:v>TC_DB_006</x:v>
      </x:c>
      <x:c r="B7" s="7" t="str">
        <x:v>Schema</x:v>
      </x:c>
      <x:c r="C7" s="7" t="str">
        <x:v>Tabla letrehozas - raktar</x:v>
      </x:c>
      <x:c r="D7" s="7" t="str">
        <x:v>Strukturalis</x:v>
      </x:c>
      <x:c r="E7" s="7" t="str">
        <x:v>Magas</x:v>
      </x:c>
      <x:c r="F7" s="7" t="str">
        <x:v>termekek es meretek tablák leteznek</x:v>
      </x:c>
      <x:c r="G7" s="7" t="str">
        <x:v>CREATE TABLE raktar futtatasa</x:v>
      </x:c>
      <x:c r="H7" s="7" t="str">
        <x:v>A tabla letrejon es osszekoti a termeket a merettel.</x:v>
      </x:c>
      <x:c r="I7" s="7" t="str">
        <x:v>Megfeleloen mukodott a teszt soran.</x:v>
      </x:c>
      <x:c r="J7" s="7" t="str">
        <x:v>Sikeres</x:v>
      </x:c>
      <x:c r="K7" s="7" t="str"/>
    </x:row>
    <x:row r="8">
      <x:c r="A8" s="7" t="str">
        <x:v>TC_DB_007</x:v>
      </x:c>
      <x:c r="B8" s="7" t="str">
        <x:v>Schema</x:v>
      </x:c>
      <x:c r="C8" s="7" t="str">
        <x:v>Tabla letrehozas - csapatok</x:v>
      </x:c>
      <x:c r="D8" s="7" t="str">
        <x:v>Strukturalis</x:v>
      </x:c>
      <x:c r="E8" s="7" t="str">
        <x:v>Kozepes</x:v>
      </x:c>
      <x:c r="F8" s="7" t="str">
        <x:v>Ures adatbazis</x:v>
      </x:c>
      <x:c r="G8" s="7" t="str">
        <x:v>CREATE TABLE csapatok futtatasa</x:v>
      </x:c>
      <x:c r="H8" s="7" t="str">
        <x:v>A tabla letrejon.</x:v>
      </x:c>
      <x:c r="I8" s="7" t="str">
        <x:v>Megfeleloen mukodott a teszt soran.</x:v>
      </x:c>
      <x:c r="J8" s="7" t="str">
        <x:v>Sikeres</x:v>
      </x:c>
      <x:c r="K8" s="7" t="str"/>
    </x:row>
    <x:row r="9">
      <x:c r="A9" s="7" t="str">
        <x:v>TC_DB_008</x:v>
      </x:c>
      <x:c r="B9" s="7" t="str">
        <x:v>Schema</x:v>
      </x:c>
      <x:c r="C9" s="7" t="str">
        <x:v>Tabla letrehozas - stadionok</x:v>
      </x:c>
      <x:c r="D9" s="7" t="str">
        <x:v>Strukturalis</x:v>
      </x:c>
      <x:c r="E9" s="7" t="str">
        <x:v>Kozepes</x:v>
      </x:c>
      <x:c r="F9" s="7" t="str">
        <x:v>csapatok tabla letezik</x:v>
      </x:c>
      <x:c r="G9" s="7" t="str">
        <x:v>CREATE TABLE stadionok futtatasa</x:v>
      </x:c>
      <x:c r="H9" s="7" t="str">
        <x:v>A tabla letrejon FK kapcsolattal.</x:v>
      </x:c>
      <x:c r="I9" s="7" t="str">
        <x:v>Megfeleloen mukodott a teszt soran.</x:v>
      </x:c>
      <x:c r="J9" s="7" t="str">
        <x:v>Sikeres</x:v>
      </x:c>
      <x:c r="K9" s="7" t="str"/>
    </x:row>
    <x:row r="10">
      <x:c r="A10" s="7" t="str">
        <x:v>TC_DB_009</x:v>
      </x:c>
      <x:c r="B10" s="7" t="str">
        <x:v>Schema</x:v>
      </x:c>
      <x:c r="C10" s="7" t="str">
        <x:v>Tabla letrehozas - meccsek</x:v>
      </x:c>
      <x:c r="D10" s="7" t="str">
        <x:v>Strukturalis</x:v>
      </x:c>
      <x:c r="E10" s="7" t="str">
        <x:v>Magas</x:v>
      </x:c>
      <x:c r="F10" s="7" t="str">
        <x:v>csapatok es stadionok tablák leteznek</x:v>
      </x:c>
      <x:c r="G10" s="7" t="str">
        <x:v>CREATE TABLE meccsek futtatasa</x:v>
      </x:c>
      <x:c r="H10" s="7" t="str">
        <x:v>A tabla letrejon es tartalmazza a szukseges FK-kat.</x:v>
      </x:c>
      <x:c r="I10" s="7" t="str">
        <x:v>Megfeleloen mukodott a teszt soran.</x:v>
      </x:c>
      <x:c r="J10" s="7" t="str">
        <x:v>Sikeres</x:v>
      </x:c>
      <x:c r="K10" s="7" t="str"/>
    </x:row>
    <x:row r="11">
      <x:c r="A11" s="7" t="str">
        <x:v>TC_DB_010</x:v>
      </x:c>
      <x:c r="B11" s="7" t="str">
        <x:v>Schema</x:v>
      </x:c>
      <x:c r="C11" s="7" t="str">
        <x:v>Tabla letrehozas - utazasok</x:v>
      </x:c>
      <x:c r="D11" s="7" t="str">
        <x:v>Strukturalis</x:v>
      </x:c>
      <x:c r="E11" s="7" t="str">
        <x:v>Kozepes</x:v>
      </x:c>
      <x:c r="F11" s="7" t="str">
        <x:v>meccsek tabla letezik</x:v>
      </x:c>
      <x:c r="G11" s="7" t="str">
        <x:v>CREATE TABLE utazasok futtatasa</x:v>
      </x:c>
      <x:c r="H11" s="7" t="str">
        <x:v>A tabla letrejon.</x:v>
      </x:c>
      <x:c r="I11" s="7" t="str">
        <x:v>Megfeleloen mukodott a teszt soran.</x:v>
      </x:c>
      <x:c r="J11" s="7" t="str">
        <x:v>Sikeres</x:v>
      </x:c>
      <x:c r="K11" s="7" t="str"/>
    </x:row>
    <x:row r="12">
      <x:c r="A12" s="7" t="str">
        <x:v>TC_DB_011</x:v>
      </x:c>
      <x:c r="B12" s="7" t="str">
        <x:v>Schema</x:v>
      </x:c>
      <x:c r="C12" s="7" t="str">
        <x:v>Tabla letrehozas - szallasok</x:v>
      </x:c>
      <x:c r="D12" s="7" t="str">
        <x:v>Strukturalis</x:v>
      </x:c>
      <x:c r="E12" s="7" t="str">
        <x:v>Kozepes</x:v>
      </x:c>
      <x:c r="F12" s="7" t="str">
        <x:v>Ures adatbazis</x:v>
      </x:c>
      <x:c r="G12" s="7" t="str">
        <x:v>CREATE TABLE szallasok futtatasa</x:v>
      </x:c>
      <x:c r="H12" s="7" t="str">
        <x:v>A tabla letrejon.</x:v>
      </x:c>
      <x:c r="I12" s="7" t="str">
        <x:v>Megfeleloen mukodott a teszt soran.</x:v>
      </x:c>
      <x:c r="J12" s="7" t="str">
        <x:v>Sikeres</x:v>
      </x:c>
      <x:c r="K12" s="7" t="str"/>
    </x:row>
    <x:row r="13">
      <x:c r="A13" s="7" t="str">
        <x:v>TC_DB_012</x:v>
      </x:c>
      <x:c r="B13" s="7" t="str">
        <x:v>Schema</x:v>
      </x:c>
      <x:c r="C13" s="7" t="str">
        <x:v>Tabla letrehozas - foglalasok</x:v>
      </x:c>
      <x:c r="D13" s="7" t="str">
        <x:v>Strukturalis</x:v>
      </x:c>
      <x:c r="E13" s="7" t="str">
        <x:v>Magas</x:v>
      </x:c>
      <x:c r="F13" s="7" t="str">
        <x:v>felhasznalok, utazasok es szallasok tablák leteznek</x:v>
      </x:c>
      <x:c r="G13" s="7" t="str">
        <x:v>CREATE TABLE foglalasok futtatasa</x:v>
      </x:c>
      <x:c r="H13" s="7" t="str">
        <x:v>A tabla letrejon, minden FK ervenyes.</x:v>
      </x:c>
      <x:c r="I13" s="7" t="str">
        <x:v>Megfeleloen mukodott a teszt soran.</x:v>
      </x:c>
      <x:c r="J13" s="7" t="str">
        <x:v>Sikeres</x:v>
      </x:c>
      <x:c r="K13" s="7" t="str"/>
    </x:row>
    <x:row r="14">
      <x:c r="A14" s="7" t="str">
        <x:v>TC_DB_013</x:v>
      </x:c>
      <x:c r="B14" s="7" t="str">
        <x:v>Schema</x:v>
      </x:c>
      <x:c r="C14" s="7" t="str">
        <x:v>Tabla letrehozas - rendelesek</x:v>
      </x:c>
      <x:c r="D14" s="7" t="str">
        <x:v>Strukturalis</x:v>
      </x:c>
      <x:c r="E14" s="7" t="str">
        <x:v>Magas</x:v>
      </x:c>
      <x:c r="F14" s="7" t="str">
        <x:v>felhasznalok tabla letezik</x:v>
      </x:c>
      <x:c r="G14" s="7" t="str">
        <x:v>CREATE TABLE rendelesek futtatasa</x:v>
      </x:c>
      <x:c r="H14" s="7" t="str">
        <x:v>A tabla letrejon, allapot alapertelmezett erteke mukodik.</x:v>
      </x:c>
      <x:c r="I14" s="7" t="str">
        <x:v>Megfeleloen mukodott a teszt soran.</x:v>
      </x:c>
      <x:c r="J14" s="7" t="str">
        <x:v>Sikeres</x:v>
      </x:c>
      <x:c r="K14" s="7" t="str"/>
    </x:row>
    <x:row r="15">
      <x:c r="A15" s="7" t="str">
        <x:v>TC_DB_014</x:v>
      </x:c>
      <x:c r="B15" s="7" t="str">
        <x:v>Schema</x:v>
      </x:c>
      <x:c r="C15" s="7" t="str">
        <x:v>Tabla letrehozas - rendeles_tetelek</x:v>
      </x:c>
      <x:c r="D15" s="7" t="str">
        <x:v>Strukturalis</x:v>
      </x:c>
      <x:c r="E15" s="7" t="str">
        <x:v>Magas</x:v>
      </x:c>
      <x:c r="F15" s="7" t="str">
        <x:v>rendelesek, termekek, meretek leteznek</x:v>
      </x:c>
      <x:c r="G15" s="7" t="str">
        <x:v>CREATE TABLE rendeles_tetelek futtatasa</x:v>
      </x:c>
      <x:c r="H15" s="7" t="str">
        <x:v>A tabla letrejon az osszes idegen kulccsal.</x:v>
      </x:c>
      <x:c r="I15" s="7" t="str">
        <x:v>Megfeleloen mukodott a teszt soran.</x:v>
      </x:c>
      <x:c r="J15" s="7" t="str">
        <x:v>Sikeres</x:v>
      </x:c>
      <x:c r="K15" s="7" t="str"/>
    </x:row>
    <x:row r="16">
      <x:c r="A16" s="7" t="str">
        <x:v>TC_DB_015</x:v>
      </x:c>
      <x:c r="B16" s="7" t="str">
        <x:v>Schema</x:v>
      </x:c>
      <x:c r="C16" s="7" t="str">
        <x:v>Tabla letrehozas - fizetes</x:v>
      </x:c>
      <x:c r="D16" s="7" t="str">
        <x:v>Strukturalis</x:v>
      </x:c>
      <x:c r="E16" s="7" t="str">
        <x:v>Magas</x:v>
      </x:c>
      <x:c r="F16" s="7" t="str">
        <x:v>rendelesek tabla letezik</x:v>
      </x:c>
      <x:c r="G16" s="7" t="str">
        <x:v>CREATE TABLE fizetes futtatasa</x:v>
      </x:c>
      <x:c r="H16" s="7" t="str">
        <x:v>A tabla letrejon es kapcsolodik a rendelesekhez.</x:v>
      </x:c>
      <x:c r="I16" s="7" t="str">
        <x:v>Megfeleloen mukodott a teszt soran.</x:v>
      </x:c>
      <x:c r="J16" s="7" t="str">
        <x:v>Sikeres</x:v>
      </x:c>
      <x:c r="K16" s="7" t="str"/>
    </x:row>
    <x:row r="17">
      <x:c r="A17" s="7" t="str">
        <x:v>TC_DB_016</x:v>
      </x:c>
      <x:c r="B17" s="7" t="str">
        <x:v>Alapadat</x:v>
      </x:c>
      <x:c r="C17" s="7" t="str">
        <x:v>Jogosultsagok alapadat betoltese</x:v>
      </x:c>
      <x:c r="D17" s="7" t="str">
        <x:v>Pozitiv</x:v>
      </x:c>
      <x:c r="E17" s="7" t="str">
        <x:v>Magas</x:v>
      </x:c>
      <x:c r="F17" s="7" t="str">
        <x:v>jogosultsagok tabla ures</x:v>
      </x:c>
      <x:c r="G17" s="7" t="str">
        <x:v>admin es user rekordok INSERT-je</x:v>
      </x:c>
      <x:c r="H17" s="7" t="str">
        <x:v>2 rekord letrejon a jogosultsagok tablaban.</x:v>
      </x:c>
      <x:c r="I17" s="7" t="str">
        <x:v>Megfeleloen mukodott a teszt soran.</x:v>
      </x:c>
      <x:c r="J17" s="7" t="str">
        <x:v>Sikeres</x:v>
      </x:c>
      <x:c r="K17" s="7" t="str"/>
    </x:row>
    <x:row r="18">
      <x:c r="A18" s="7" t="str">
        <x:v>TC_DB_017</x:v>
      </x:c>
      <x:c r="B18" s="7" t="str">
        <x:v>Alapadat</x:v>
      </x:c>
      <x:c r="C18" s="7" t="str">
        <x:v>Kategoriak alapadat betoltese</x:v>
      </x:c>
      <x:c r="D18" s="7" t="str">
        <x:v>Pozitiv</x:v>
      </x:c>
      <x:c r="E18" s="7" t="str">
        <x:v>Magas</x:v>
      </x:c>
      <x:c r="F18" s="7" t="str">
        <x:v>kategoria tabla ures</x:v>
      </x:c>
      <x:c r="G18" s="7" t="str">
        <x:v>Mez es Utazasi csomag rekordok INSERT-je</x:v>
      </x:c>
      <x:c r="H18" s="7" t="str">
        <x:v>A kategoriak megfeleloen rogzulnek.</x:v>
      </x:c>
      <x:c r="I18" s="7" t="str">
        <x:v>Megfeleloen mukodott a teszt soran.</x:v>
      </x:c>
      <x:c r="J18" s="7" t="str">
        <x:v>Sikeres</x:v>
      </x:c>
      <x:c r="K18" s="7" t="str"/>
    </x:row>
    <x:row r="19">
      <x:c r="A19" s="7" t="str">
        <x:v>TC_DB_018</x:v>
      </x:c>
      <x:c r="B19" s="7" t="str">
        <x:v>Alapadat</x:v>
      </x:c>
      <x:c r="C19" s="7" t="str">
        <x:v>Meretek alapadat betoltese</x:v>
      </x:c>
      <x:c r="D19" s="7" t="str">
        <x:v>Pozitiv</x:v>
      </x:c>
      <x:c r="E19" s="7" t="str">
        <x:v>Magas</x:v>
      </x:c>
      <x:c r="F19" s="7" t="str">
        <x:v>meretek tabla ures</x:v>
      </x:c>
      <x:c r="G19" s="7" t="str">
        <x:v>S, M, L, XL, XXL ertekek INSERT-je</x:v>
      </x:c>
      <x:c r="H19" s="7" t="str">
        <x:v>Az 5 alap meret rogzul.</x:v>
      </x:c>
      <x:c r="I19" s="7" t="str">
        <x:v>Megfeleloen mukodott a teszt soran.</x:v>
      </x:c>
      <x:c r="J19" s="7" t="str">
        <x:v>Sikeres</x:v>
      </x:c>
      <x:c r="K19" s="7" t="str"/>
    </x:row>
    <x:row r="20">
      <x:c r="A20" s="7" t="str">
        <x:v>TC_DB_019</x:v>
      </x:c>
      <x:c r="B20" s="7" t="str">
        <x:v>Alapadat</x:v>
      </x:c>
      <x:c r="C20" s="7" t="str">
        <x:v>Csapatok teljes listajanak betoltese</x:v>
      </x:c>
      <x:c r="D20" s="7" t="str">
        <x:v>Pozitiv</x:v>
      </x:c>
      <x:c r="E20" s="7" t="str">
        <x:v>Magas</x:v>
      </x:c>
      <x:c r="F20" s="7" t="str">
        <x:v>csapatok tabla ures</x:v>
      </x:c>
      <x:c r="G20" s="7" t="str">
        <x:v>A zip alapjan osszeallitott csapatlista betoltese</x:v>
      </x:c>
      <x:c r="H20" s="7" t="str">
        <x:v>Az osszes csapat bekerul duplikacio nelkul.</x:v>
      </x:c>
      <x:c r="I20" s="7" t="str">
        <x:v>Megfeleloen mukodott a teszt soran.</x:v>
      </x:c>
      <x:c r="J20" s="7" t="str">
        <x:v>Sikeres</x:v>
      </x:c>
      <x:c r="K20" s="7" t="str"/>
    </x:row>
    <x:row r="21">
      <x:c r="A21" s="7" t="str">
        <x:v>TC_DB_020</x:v>
      </x:c>
      <x:c r="B21" s="7" t="str">
        <x:v>Alapadat</x:v>
      </x:c>
      <x:c r="C21" s="7" t="str">
        <x:v>Stadionok teljes listajanak betoltese</x:v>
      </x:c>
      <x:c r="D21" s="7" t="str">
        <x:v>Pozitiv</x:v>
      </x:c>
      <x:c r="E21" s="7" t="str">
        <x:v>Magas</x:v>
      </x:c>
      <x:c r="F21" s="7" t="str">
        <x:v>stadionok tabla ures</x:v>
      </x:c>
      <x:c r="G21" s="7" t="str">
        <x:v>A stadionlista betoltese kapacitassal</x:v>
      </x:c>
      <x:c r="H21" s="7" t="str">
        <x:v>A stadionok helyesen rogzulnek.</x:v>
      </x:c>
      <x:c r="I21" s="7" t="str">
        <x:v>Megfeleloen mukodott a teszt soran.</x:v>
      </x:c>
      <x:c r="J21" s="7" t="str">
        <x:v>Sikeres</x:v>
      </x:c>
      <x:c r="K21" s="7" t="str"/>
    </x:row>
    <x:row r="22">
      <x:c r="A22" s="7" t="str">
        <x:v>TC_DB_021</x:v>
      </x:c>
      <x:c r="B22" s="7" t="str">
        <x:v>Alapadat</x:v>
      </x:c>
      <x:c r="C22" s="7" t="str">
        <x:v>Stadionok csapat_id feltoltese</x:v>
      </x:c>
      <x:c r="D22" s="7" t="str">
        <x:v>Pozitiv</x:v>
      </x:c>
      <x:c r="E22" s="7" t="str">
        <x:v>Magas</x:v>
      </x:c>
      <x:c r="F22" s="7" t="str">
        <x:v>csapatok es stadionok mar leteznek</x:v>
      </x:c>
      <x:c r="G22" s="7" t="str">
        <x:v>UPDATE stadionok ... JOIN csapatok muveletek</x:v>
      </x:c>
      <x:c r="H22" s="7" t="str">
        <x:v>A stadionokhoz a megfelelo csapat_id kerul.</x:v>
      </x:c>
      <x:c r="I22" s="7" t="str">
        <x:v>Megfeleloen mukodott a teszt soran.</x:v>
      </x:c>
      <x:c r="J22" s="7" t="str">
        <x:v>Sikeres</x:v>
      </x:c>
      <x:c r="K22" s="7" t="str"/>
    </x:row>
    <x:row r="23">
      <x:c r="A23" s="7" t="str">
        <x:v>TC_DB_022</x:v>
      </x:c>
      <x:c r="B23" s="7" t="str">
        <x:v>Alapadat</x:v>
      </x:c>
      <x:c r="C23" s="7" t="str">
        <x:v>Termekek betoltese zip alapjan</x:v>
      </x:c>
      <x:c r="D23" s="7" t="str">
        <x:v>Pozitiv</x:v>
      </x:c>
      <x:c r="E23" s="7" t="str">
        <x:v>Magas</x:v>
      </x:c>
      <x:c r="F23" s="7" t="str">
        <x:v>termekek tabla ures, kategoria tartalmazza a Mez rekordot</x:v>
      </x:c>
      <x:c r="G23" s="7" t="str">
        <x:v>A nem 0 KB-s kepek alapjan generalt INSERT futtatasa</x:v>
      </x:c>
      <x:c r="H23" s="7" t="str">
        <x:v>Csak a valos mezek kerulnek az adatbazisba.</x:v>
      </x:c>
      <x:c r="I23" s="7" t="str">
        <x:v>Megfeleloen mukodott a teszt soran.</x:v>
      </x:c>
      <x:c r="J23" s="7" t="str">
        <x:v>Sikeres</x:v>
      </x:c>
      <x:c r="K23" s="7" t="str"/>
    </x:row>
    <x:row r="24">
      <x:c r="A24" s="7" t="str">
        <x:v>TC_DB_023</x:v>
      </x:c>
      <x:c r="B24" s="7" t="str">
        <x:v>Alapadat</x:v>
      </x:c>
      <x:c r="C24" s="7" t="str">
        <x:v>Raktar feltoltese meretekkel</x:v>
      </x:c>
      <x:c r="D24" s="7" t="str">
        <x:v>Pozitiv</x:v>
      </x:c>
      <x:c r="E24" s="7" t="str">
        <x:v>Magas</x:v>
      </x:c>
      <x:c r="F24" s="7" t="str">
        <x:v>termekek es meretek mar fel vannak toltve</x:v>
      </x:c>
      <x:c r="G24" s="7" t="str">
        <x:v>raktar INSERT CROSS JOIN alapjan</x:v>
      </x:c>
      <x:c r="H24" s="7" t="str">
        <x:v>Minden termekhez es merethez keszlet kerul.</x:v>
      </x:c>
      <x:c r="I24" s="7" t="str">
        <x:v>Megfeleloen mukodott a teszt soran.</x:v>
      </x:c>
      <x:c r="J24" s="7" t="str">
        <x:v>Sikeres</x:v>
      </x:c>
      <x:c r="K24" s="7" t="str"/>
    </x:row>
    <x:row r="25">
      <x:c r="A25" s="7" t="str">
        <x:v>TC_DB_024</x:v>
      </x:c>
      <x:c r="B25" s="7" t="str">
        <x:v>Alapadat</x:v>
      </x:c>
      <x:c r="C25" s="7" t="str">
        <x:v>Meccsek alapadat betoltese</x:v>
      </x:c>
      <x:c r="D25" s="7" t="str">
        <x:v>Pozitiv</x:v>
      </x:c>
      <x:c r="E25" s="7" t="str">
        <x:v>Kozepes</x:v>
      </x:c>
      <x:c r="F25" s="7" t="str">
        <x:v>csapatok es stadionok fel vannak toltve</x:v>
      </x:c>
      <x:c r="G25" s="7" t="str">
        <x:v>A meccs INSERT-ek futtatasa SELECT + JOIN logikaval</x:v>
      </x:c>
      <x:c r="H25" s="7" t="str">
        <x:v>A meccsek helyes FK ertekekkel rogzulnek.</x:v>
      </x:c>
      <x:c r="I25" s="7" t="str">
        <x:v>Megfeleloen mukodott a teszt soran.</x:v>
      </x:c>
      <x:c r="J25" s="7" t="str">
        <x:v>Sikeres</x:v>
      </x:c>
      <x:c r="K25" s="7" t="str"/>
    </x:row>
    <x:row r="26">
      <x:c r="A26" s="7" t="str">
        <x:v>TC_DB_025</x:v>
      </x:c>
      <x:c r="B26" s="7" t="str">
        <x:v>Alapadat</x:v>
      </x:c>
      <x:c r="C26" s="7" t="str">
        <x:v>Utazasok alapadat betoltese</x:v>
      </x:c>
      <x:c r="D26" s="7" t="str">
        <x:v>Pozitiv</x:v>
      </x:c>
      <x:c r="E26" s="7" t="str">
        <x:v>Kozepes</x:v>
      </x:c>
      <x:c r="F26" s="7" t="str">
        <x:v>meccsek rekordjai leteznek</x:v>
      </x:c>
      <x:c r="G26" s="7" t="str">
        <x:v>Az utazas INSERT-ek futtatasa</x:v>
      </x:c>
      <x:c r="H26" s="7" t="str">
        <x:v>Minden utazas egy meccshez kapcsolodik.</x:v>
      </x:c>
      <x:c r="I26" s="7" t="str">
        <x:v>Megfeleloen mukodott a teszt soran.</x:v>
      </x:c>
      <x:c r="J26" s="7" t="str">
        <x:v>Sikeres</x:v>
      </x:c>
      <x:c r="K26" s="7" t="str"/>
    </x:row>
    <x:row r="27">
      <x:c r="A27" s="7" t="str">
        <x:v>TC_DB_026</x:v>
      </x:c>
      <x:c r="B27" s="7" t="str">
        <x:v>Felhasznalok</x:v>
      </x:c>
      <x:c r="C27" s="7" t="str">
        <x:v>Ervenyes felhasznalo letrehozasa</x:v>
      </x:c>
      <x:c r="D27" s="7" t="str">
        <x:v>Pozitiv</x:v>
      </x:c>
      <x:c r="E27" s="7" t="str">
        <x:v>Magas</x:v>
      </x:c>
      <x:c r="F27" s="7" t="str">
        <x:v>jogosultsag_id=2 letezik</x:v>
      </x:c>
      <x:c r="G27" s="7" t="str">
        <x:v>INSERT uj felhasznaloval ervenyes email cimmel</x:v>
      </x:c>
      <x:c r="H27" s="7" t="str">
        <x:v>A felhasznalo sikeresen letrejon.</x:v>
      </x:c>
      <x:c r="I27" s="7" t="str">
        <x:v>Megfeleloen mukodott a teszt soran.</x:v>
      </x:c>
      <x:c r="J27" s="7" t="str">
        <x:v>Sikeres</x:v>
      </x:c>
      <x:c r="K27" s="7" t="str"/>
    </x:row>
    <x:row r="28">
      <x:c r="A28" s="7" t="str">
        <x:v>TC_DB_027</x:v>
      </x:c>
      <x:c r="B28" s="7" t="str">
        <x:v>Felhasznalok</x:v>
      </x:c>
      <x:c r="C28" s="7" t="str">
        <x:v>Duplikalt email tiltasa</x:v>
      </x:c>
      <x:c r="D28" s="7" t="str">
        <x:v>Negativ</x:v>
      </x:c>
      <x:c r="E28" s="7" t="str">
        <x:v>Magas</x:v>
      </x:c>
      <x:c r="F28" s="7" t="str">
        <x:v>Letezik mar az adott email</x:v>
      </x:c>
      <x:c r="G28" s="7" t="str">
        <x:v>Masodik felhasznalo beszurasa ugyanazzal az emaillel</x:v>
      </x:c>
      <x:c r="H28" s="7" t="str">
        <x:v>A rendszer hibat ad az UNIQUE megszoritas miatt.</x:v>
      </x:c>
      <x:c r="I28" s="7" t="str">
        <x:v>Megfeleloen mukodott a teszt soran.</x:v>
      </x:c>
      <x:c r="J28" s="7" t="str">
        <x:v>Sikeres</x:v>
      </x:c>
      <x:c r="K28" s="7" t="str"/>
    </x:row>
    <x:row r="29">
      <x:c r="A29" s="7" t="str">
        <x:v>TC_DB_028</x:v>
      </x:c>
      <x:c r="B29" s="7" t="str">
        <x:v>Felhasznalok</x:v>
      </x:c>
      <x:c r="C29" s="7" t="str">
        <x:v>Jelszo kotelezo mező ellenorzese</x:v>
      </x:c>
      <x:c r="D29" s="7" t="str">
        <x:v>Negativ</x:v>
      </x:c>
      <x:c r="E29" s="7" t="str">
        <x:v>Magas</x:v>
      </x:c>
      <x:c r="F29" s="7" t="str">
        <x:v>felhasznalok tabla elerheto</x:v>
      </x:c>
      <x:c r="G29" s="7" t="str">
        <x:v>INSERT NULL jelszoval</x:v>
      </x:c>
      <x:c r="H29" s="7" t="str">
        <x:v>A rendszer hibat ad, mert a jelszo nem lehet NULL.</x:v>
      </x:c>
      <x:c r="I29" s="7" t="str">
        <x:v>Megfeleloen mukodott a teszt soran.</x:v>
      </x:c>
      <x:c r="J29" s="7" t="str">
        <x:v>Sikeres</x:v>
      </x:c>
      <x:c r="K29" s="7" t="str"/>
    </x:row>
    <x:row r="30">
      <x:c r="A30" s="7" t="str">
        <x:v>TC_DB_029</x:v>
      </x:c>
      <x:c r="B30" s="7" t="str">
        <x:v>Felhasznalok</x:v>
      </x:c>
      <x:c r="C30" s="7" t="str">
        <x:v>Nev kotelezo mező ellenorzese</x:v>
      </x:c>
      <x:c r="D30" s="7" t="str">
        <x:v>Negativ</x:v>
      </x:c>
      <x:c r="E30" s="7" t="str">
        <x:v>Magas</x:v>
      </x:c>
      <x:c r="F30" s="7" t="str">
        <x:v>felhasznalok tabla elerheto</x:v>
      </x:c>
      <x:c r="G30" s="7" t="str">
        <x:v>INSERT NULL nevvel</x:v>
      </x:c>
      <x:c r="H30" s="7" t="str">
        <x:v>A rendszer hibat ad a NOT NULL megszoritas miatt.</x:v>
      </x:c>
      <x:c r="I30" s="7" t="str">
        <x:v>Megfeleloen mukodott a teszt soran.</x:v>
      </x:c>
      <x:c r="J30" s="7" t="str">
        <x:v>Sikeres</x:v>
      </x:c>
      <x:c r="K30" s="7" t="str"/>
    </x:row>
    <x:row r="31">
      <x:c r="A31" s="7" t="str">
        <x:v>TC_DB_030</x:v>
      </x:c>
      <x:c r="B31" s="7" t="str">
        <x:v>Felhasznalok</x:v>
      </x:c>
      <x:c r="C31" s="7" t="str">
        <x:v>Jogosultsag idegen kulcs ellenorzese</x:v>
      </x:c>
      <x:c r="D31" s="7" t="str">
        <x:v>Negativ</x:v>
      </x:c>
      <x:c r="E31" s="7" t="str">
        <x:v>Magas</x:v>
      </x:c>
      <x:c r="F31" s="7" t="str">
        <x:v>jogosultsagok tabla letezik</x:v>
      </x:c>
      <x:c r="G31" s="7" t="str">
        <x:v>INSERT felhasznalo 999-es jogosultsag_id-vel</x:v>
      </x:c>
      <x:c r="H31" s="7" t="str">
        <x:v>A rendszer hibat ad FK megszoritas miatt.</x:v>
      </x:c>
      <x:c r="I31" s="7" t="str">
        <x:v>Megfeleloen mukodott a teszt soran.</x:v>
      </x:c>
      <x:c r="J31" s="7" t="str">
        <x:v>Sikeres</x:v>
      </x:c>
      <x:c r="K31" s="7" t="str"/>
    </x:row>
    <x:row r="32">
      <x:c r="A32" s="7" t="str">
        <x:v>TC_DB_031</x:v>
      </x:c>
      <x:c r="B32" s="7" t="str">
        <x:v>Felhasznalok</x:v>
      </x:c>
      <x:c r="C32" s="7" t="str">
        <x:v>Alapertelmezett regisztracio datum</x:v>
      </x:c>
      <x:c r="D32" s="7" t="str">
        <x:v>Pozitiv</x:v>
      </x:c>
      <x:c r="E32" s="7" t="str">
        <x:v>Kozepes</x:v>
      </x:c>
      <x:c r="F32" s="7" t="str">
        <x:v>felhasznalok tabla elerheto</x:v>
      </x:c>
      <x:c r="G32" s="7" t="str">
        <x:v>INSERT datum megadasa nelkul</x:v>
      </x:c>
      <x:c r="H32" s="7" t="str">
        <x:v>A regisztracio_datuma automatikusan kitoltodik.</x:v>
      </x:c>
      <x:c r="I32" s="7" t="str">
        <x:v>Megfeleloen mukodott a teszt soran.</x:v>
      </x:c>
      <x:c r="J32" s="7" t="str">
        <x:v>Sikeres</x:v>
      </x:c>
      <x:c r="K32" s="7" t="str"/>
    </x:row>
    <x:row r="33">
      <x:c r="A33" s="7" t="str">
        <x:v>TC_DB_032</x:v>
      </x:c>
      <x:c r="B33" s="7" t="str">
        <x:v>Felhasznalok</x:v>
      </x:c>
      <x:c r="C33" s="7" t="str">
        <x:v>Telefonszam opcionális mezo</x:v>
      </x:c>
      <x:c r="D33" s="7" t="str">
        <x:v>Pozitiv</x:v>
      </x:c>
      <x:c r="E33" s="7" t="str">
        <x:v>Alacsony</x:v>
      </x:c>
      <x:c r="F33" s="7" t="str">
        <x:v>felhasznalok tabla elerheto</x:v>
      </x:c>
      <x:c r="G33" s="7" t="str">
        <x:v>INSERT telefonszam nelkul</x:v>
      </x:c>
      <x:c r="H33" s="7" t="str">
        <x:v>A rekord letrejon, mert a mező opcionális.</x:v>
      </x:c>
      <x:c r="I33" s="7" t="str">
        <x:v>Megfeleloen mukodott a teszt soran.</x:v>
      </x:c>
      <x:c r="J33" s="7" t="str">
        <x:v>Sikeres</x:v>
      </x:c>
      <x:c r="K33" s="7" t="str"/>
    </x:row>
    <x:row r="34">
      <x:c r="A34" s="7" t="str">
        <x:v>TC_DB_033</x:v>
      </x:c>
      <x:c r="B34" s="7" t="str">
        <x:v>Felhasznalok</x:v>
      </x:c>
      <x:c r="C34" s="7" t="str">
        <x:v>Cim opcionális mezo</x:v>
      </x:c>
      <x:c r="D34" s="7" t="str">
        <x:v>Pozitiv</x:v>
      </x:c>
      <x:c r="E34" s="7" t="str">
        <x:v>Alacsony</x:v>
      </x:c>
      <x:c r="F34" s="7" t="str">
        <x:v>felhasznalok tabla elerheto</x:v>
      </x:c>
      <x:c r="G34" s="7" t="str">
        <x:v>INSERT cim nelkul</x:v>
      </x:c>
      <x:c r="H34" s="7" t="str">
        <x:v>A rekord letrejon.</x:v>
      </x:c>
      <x:c r="I34" s="7" t="str">
        <x:v>Megfeleloen mukodott a teszt soran.</x:v>
      </x:c>
      <x:c r="J34" s="7" t="str">
        <x:v>Sikeres</x:v>
      </x:c>
      <x:c r="K34" s="7" t="str"/>
    </x:row>
    <x:row r="35">
      <x:c r="A35" s="7" t="str">
        <x:v>TC_DB_034</x:v>
      </x:c>
      <x:c r="B35" s="7" t="str">
        <x:v>Felhasznalok</x:v>
      </x:c>
      <x:c r="C35" s="7" t="str">
        <x:v>Admin felhasznalo letrehozasa</x:v>
      </x:c>
      <x:c r="D35" s="7" t="str">
        <x:v>Pozitiv</x:v>
      </x:c>
      <x:c r="E35" s="7" t="str">
        <x:v>Kozepes</x:v>
      </x:c>
      <x:c r="F35" s="7" t="str">
        <x:v>jogosultsag_id=1 letezik</x:v>
      </x:c>
      <x:c r="G35" s="7" t="str">
        <x:v>INSERT admin jogosultsaggal</x:v>
      </x:c>
      <x:c r="H35" s="7" t="str">
        <x:v>A felhasznalo admin szerepkorben jon letre.</x:v>
      </x:c>
      <x:c r="I35" s="7" t="str">
        <x:v>Megfeleloen mukodott a teszt soran.</x:v>
      </x:c>
      <x:c r="J35" s="7" t="str">
        <x:v>Sikeres</x:v>
      </x:c>
      <x:c r="K35" s="7" t="str"/>
    </x:row>
    <x:row r="36">
      <x:c r="A36" s="7" t="str">
        <x:v>TC_DB_035</x:v>
      </x:c>
      <x:c r="B36" s="7" t="str">
        <x:v>Felhasznalok</x:v>
      </x:c>
      <x:c r="C36" s="7" t="str">
        <x:v>Felhasznalo torlese kapcsolodo rendelessel</x:v>
      </x:c>
      <x:c r="D36" s="7" t="str">
        <x:v>Integracios</x:v>
      </x:c>
      <x:c r="E36" s="7" t="str">
        <x:v>Magas</x:v>
      </x:c>
      <x:c r="F36" s="7" t="str">
        <x:v>Az adott userhez tartozik rendelés</x:v>
      </x:c>
      <x:c r="G36" s="7" t="str">
        <x:v>DELETE a felhasznalo rekordra</x:v>
      </x:c>
      <x:c r="H36" s="7" t="str">
        <x:v>A kapcsolodo rendelesek ON DELETE szabaly szerint kezelodnek.</x:v>
      </x:c>
      <x:c r="I36" s="7" t="str">
        <x:v>Megfeleloen mukodott a teszt soran.</x:v>
      </x:c>
      <x:c r="J36" s="7" t="str">
        <x:v>Sikeres</x:v>
      </x:c>
      <x:c r="K36" s="7" t="str"/>
    </x:row>
    <x:row r="37">
      <x:c r="A37" s="7" t="str">
        <x:v>TC_DB_036</x:v>
      </x:c>
      <x:c r="B37" s="7" t="str">
        <x:v>Felhasznalok</x:v>
      </x:c>
      <x:c r="C37" s="7" t="str">
        <x:v>Felhasznalo torlese kapcsolodo foglalassal</x:v>
      </x:c>
      <x:c r="D37" s="7" t="str">
        <x:v>Integracios</x:v>
      </x:c>
      <x:c r="E37" s="7" t="str">
        <x:v>Magas</x:v>
      </x:c>
      <x:c r="F37" s="7" t="str">
        <x:v>Az adott userhez tartozik foglalas</x:v>
      </x:c>
      <x:c r="G37" s="7" t="str">
        <x:v>DELETE a felhasznalo rekordra</x:v>
      </x:c>
      <x:c r="H37" s="7" t="str">
        <x:v>A kapcsolodo foglalasok megfeleloen torlodnek.</x:v>
      </x:c>
      <x:c r="I37" s="7" t="str">
        <x:v>Megfeleloen mukodott a teszt soran.</x:v>
      </x:c>
      <x:c r="J37" s="7" t="str">
        <x:v>Sikeres</x:v>
      </x:c>
      <x:c r="K37" s="7" t="str"/>
    </x:row>
    <x:row r="38">
      <x:c r="A38" s="7" t="str">
        <x:v>TC_DB_037</x:v>
      </x:c>
      <x:c r="B38" s="7" t="str">
        <x:v>Felhasznalok</x:v>
      </x:c>
      <x:c r="C38" s="7" t="str">
        <x:v>Email formai ellenorzese adatbazis szinten</x:v>
      </x:c>
      <x:c r="D38" s="7" t="str">
        <x:v>Negativ</x:v>
      </x:c>
      <x:c r="E38" s="7" t="str">
        <x:v>Alacsony</x:v>
      </x:c>
      <x:c r="F38" s="7" t="str">
        <x:v>Nincs extra CHECK emailre</x:v>
      </x:c>
      <x:c r="G38" s="7" t="str">
        <x:v>Ervenytelen formatumu email INSERT-je</x:v>
      </x:c>
      <x:c r="H38" s="7" t="str">
        <x:v>Az adatbazis technikailag elfogadja, ellenorzest backend vegzi.</x:v>
      </x:c>
      <x:c r="I38" s="7" t="str">
        <x:v>Megfeleloen mukodott a teszt soran.</x:v>
      </x:c>
      <x:c r="J38" s="7" t="str">
        <x:v>Sikeres</x:v>
      </x:c>
      <x:c r="K38" s="7" t="str"/>
    </x:row>
    <x:row r="39">
      <x:c r="A39" s="7" t="str">
        <x:v>TC_DB_038</x:v>
      </x:c>
      <x:c r="B39" s="7" t="str">
        <x:v>Felhasznalok</x:v>
      </x:c>
      <x:c r="C39" s="7" t="str">
        <x:v>Hosszu nev kezelese</x:v>
      </x:c>
      <x:c r="D39" s="7" t="str">
        <x:v>Pozitiv</x:v>
      </x:c>
      <x:c r="E39" s="7" t="str">
        <x:v>Alacsony</x:v>
      </x:c>
      <x:c r="F39" s="7" t="str">
        <x:v>felhasznalok tabla elerheto</x:v>
      </x:c>
      <x:c r="G39" s="7" t="str">
        <x:v>100 karakter kozeli nev INSERT-je</x:v>
      </x:c>
      <x:c r="H39" s="7" t="str">
        <x:v>A nev helyesen tarolodik a megengedett hosszig.</x:v>
      </x:c>
      <x:c r="I39" s="7" t="str">
        <x:v>Megfeleloen mukodott a teszt soran.</x:v>
      </x:c>
      <x:c r="J39" s="7" t="str">
        <x:v>Sikeres</x:v>
      </x:c>
      <x:c r="K39" s="7" t="str"/>
    </x:row>
    <x:row r="40">
      <x:c r="A40" s="7" t="str">
        <x:v>TC_DB_039</x:v>
      </x:c>
      <x:c r="B40" s="7" t="str">
        <x:v>Felhasznalok</x:v>
      </x:c>
      <x:c r="C40" s="7" t="str">
        <x:v>UTF-8 karakterek tarolasa</x:v>
      </x:c>
      <x:c r="D40" s="7" t="str">
        <x:v>Pozitiv</x:v>
      </x:c>
      <x:c r="E40" s="7" t="str">
        <x:v>Alacsony</x:v>
      </x:c>
      <x:c r="F40" s="7" t="str">
        <x:v>utf8mb4 beallitas aktiv</x:v>
      </x:c>
      <x:c r="G40" s="7" t="str">
        <x:v>Ekezetes cim vagy nev INSERT-je</x:v>
      </x:c>
      <x:c r="H40" s="7" t="str">
        <x:v>A karakterek torzulas nelkul tarolodnak.</x:v>
      </x:c>
      <x:c r="I40" s="7" t="str">
        <x:v>Megfeleloen mukodott a teszt soran.</x:v>
      </x:c>
      <x:c r="J40" s="7" t="str">
        <x:v>Sikeres</x:v>
      </x:c>
      <x:c r="K40" s="7" t="str"/>
    </x:row>
    <x:row r="41">
      <x:c r="A41" s="7" t="str">
        <x:v>TC_DB_040</x:v>
      </x:c>
      <x:c r="B41" s="7" t="str">
        <x:v>Felhasznalok</x:v>
      </x:c>
      <x:c r="C41" s="7" t="str">
        <x:v>Felhasznalok listazasa</x:v>
      </x:c>
      <x:c r="D41" s="7" t="str">
        <x:v>Lekerdezes</x:v>
      </x:c>
      <x:c r="E41" s="7" t="str">
        <x:v>Kozepes</x:v>
      </x:c>
      <x:c r="F41" s="7" t="str">
        <x:v>Van adat a tablaban</x:v>
      </x:c>
      <x:c r="G41" s="7" t="str">
        <x:v>SELECT * FROM felhasznalok</x:v>
      </x:c>
      <x:c r="H41" s="7" t="str">
        <x:v>A rekordok helyesen megjelennek.</x:v>
      </x:c>
      <x:c r="I41" s="7" t="str">
        <x:v>Megfeleloen mukodott a teszt soran.</x:v>
      </x:c>
      <x:c r="J41" s="7" t="str">
        <x:v>Sikeres</x:v>
      </x:c>
      <x:c r="K41" s="7" t="str"/>
    </x:row>
    <x:row r="42">
      <x:c r="A42" s="7" t="str">
        <x:v>TC_DB_041</x:v>
      </x:c>
      <x:c r="B42" s="7" t="str">
        <x:v>Termekek</x:v>
      </x:c>
      <x:c r="C42" s="7" t="str">
        <x:v>Ervenyes termek letrehozasa</x:v>
      </x:c>
      <x:c r="D42" s="7" t="str">
        <x:v>Pozitiv</x:v>
      </x:c>
      <x:c r="E42" s="7" t="str">
        <x:v>Magas</x:v>
      </x:c>
      <x:c r="F42" s="7" t="str">
        <x:v>Mez kategoria letezik</x:v>
      </x:c>
      <x:c r="G42" s="7" t="str">
        <x:v>INSERT termek ervenyes kategoria_id-vel</x:v>
      </x:c>
      <x:c r="H42" s="7" t="str">
        <x:v>A termek sikeresen letrejon.</x:v>
      </x:c>
      <x:c r="I42" s="7" t="str">
        <x:v>Megfeleloen mukodott a teszt soran.</x:v>
      </x:c>
      <x:c r="J42" s="7" t="str">
        <x:v>Sikeres</x:v>
      </x:c>
      <x:c r="K42" s="7" t="str"/>
    </x:row>
    <x:row r="43">
      <x:c r="A43" s="7" t="str">
        <x:v>TC_DB_042</x:v>
      </x:c>
      <x:c r="B43" s="7" t="str">
        <x:v>Termekek</x:v>
      </x:c>
      <x:c r="C43" s="7" t="str">
        <x:v>Termek letrehozasa ervenytelen kategoriaval</x:v>
      </x:c>
      <x:c r="D43" s="7" t="str">
        <x:v>Negativ</x:v>
      </x:c>
      <x:c r="E43" s="7" t="str">
        <x:v>Magas</x:v>
      </x:c>
      <x:c r="F43" s="7" t="str">
        <x:v>kategoria tabla elerheto</x:v>
      </x:c>
      <x:c r="G43" s="7" t="str">
        <x:v>INSERT 999-es kategoria_id-vel</x:v>
      </x:c>
      <x:c r="H43" s="7" t="str">
        <x:v>A rendszer FK hibat ad.</x:v>
      </x:c>
      <x:c r="I43" s="7" t="str">
        <x:v>Megfeleloen mukodott a teszt soran.</x:v>
      </x:c>
      <x:c r="J43" s="7" t="str">
        <x:v>Sikeres</x:v>
      </x:c>
      <x:c r="K43" s="7" t="str"/>
    </x:row>
    <x:row r="44">
      <x:c r="A44" s="7" t="str">
        <x:v>TC_DB_043</x:v>
      </x:c>
      <x:c r="B44" s="7" t="str">
        <x:v>Termekek</x:v>
      </x:c>
      <x:c r="C44" s="7" t="str">
        <x:v>Csapatnev kotelezo mezo ellenorzese</x:v>
      </x:c>
      <x:c r="D44" s="7" t="str">
        <x:v>Negativ</x:v>
      </x:c>
      <x:c r="E44" s="7" t="str">
        <x:v>Magas</x:v>
      </x:c>
      <x:c r="F44" s="7" t="str">
        <x:v>termekek tabla elerheto</x:v>
      </x:c>
      <x:c r="G44" s="7" t="str">
        <x:v>INSERT NULL csapatnevvel</x:v>
      </x:c>
      <x:c r="H44" s="7" t="str">
        <x:v>A rendszer hibat ad.</x:v>
      </x:c>
      <x:c r="I44" s="7" t="str">
        <x:v>Megfeleloen mukodott a teszt soran.</x:v>
      </x:c>
      <x:c r="J44" s="7" t="str">
        <x:v>Sikeres</x:v>
      </x:c>
      <x:c r="K44" s="7" t="str"/>
    </x:row>
    <x:row r="45">
      <x:c r="A45" s="7" t="str">
        <x:v>TC_DB_044</x:v>
      </x:c>
      <x:c r="B45" s="7" t="str">
        <x:v>Termekek</x:v>
      </x:c>
      <x:c r="C45" s="7" t="str">
        <x:v>Alap_ar_ft kotelezo mezo ellenorzese</x:v>
      </x:c>
      <x:c r="D45" s="7" t="str">
        <x:v>Negativ</x:v>
      </x:c>
      <x:c r="E45" s="7" t="str">
        <x:v>Magas</x:v>
      </x:c>
      <x:c r="F45" s="7" t="str">
        <x:v>termekek tabla elerheto</x:v>
      </x:c>
      <x:c r="G45" s="7" t="str">
        <x:v>INSERT NULL alap_ar_ft-vel</x:v>
      </x:c>
      <x:c r="H45" s="7" t="str">
        <x:v>A rendszer hibat ad.</x:v>
      </x:c>
      <x:c r="I45" s="7" t="str">
        <x:v>Megfeleloen mukodott a teszt soran.</x:v>
      </x:c>
      <x:c r="J45" s="7" t="str">
        <x:v>Sikeres</x:v>
      </x:c>
      <x:c r="K45" s="7" t="str"/>
    </x:row>
    <x:row r="46">
      <x:c r="A46" s="7" t="str">
        <x:v>TC_DB_045</x:v>
      </x:c>
      <x:c r="B46" s="7" t="str">
        <x:v>Termekek</x:v>
      </x:c>
      <x:c r="C46" s="7" t="str">
        <x:v>Termek betoltes csak valos kepekkel</x:v>
      </x:c>
      <x:c r="D46" s="7" t="str">
        <x:v>Integracios</x:v>
      </x:c>
      <x:c r="E46" s="7" t="str">
        <x:v>Magas</x:v>
      </x:c>
      <x:c r="F46" s="7" t="str">
        <x:v>Zip feldolgozo script elokeszitve</x:v>
      </x:c>
      <x:c r="G46" s="7" t="str">
        <x:v>Generator futtatasa a kits mappan</x:v>
      </x:c>
      <x:c r="H46" s="7" t="str">
        <x:v>Csak nem 0 KB-s kephez tartozik termek rekord.</x:v>
      </x:c>
      <x:c r="I46" s="7" t="str">
        <x:v>Megfeleloen mukodott a teszt soran.</x:v>
      </x:c>
      <x:c r="J46" s="7" t="str">
        <x:v>Sikeres</x:v>
      </x:c>
      <x:c r="K46" s="7" t="str"/>
    </x:row>
    <x:row r="47">
      <x:c r="A47" s="7" t="str">
        <x:v>TC_DB_046</x:v>
      </x:c>
      <x:c r="B47" s="7" t="str">
        <x:v>Termekek</x:v>
      </x:c>
      <x:c r="C47" s="7" t="str">
        <x:v>Hazai mezek helyes leiras mezovel</x:v>
      </x:c>
      <x:c r="D47" s="7" t="str">
        <x:v>Pozitiv</x:v>
      </x:c>
      <x:c r="E47" s="7" t="str">
        <x:v>Kozepes</x:v>
      </x:c>
      <x:c r="F47" s="7" t="str">
        <x:v>termek generator futott</x:v>
      </x:c>
      <x:c r="G47" s="7" t="str">
        <x:v>SELECT leiras='Hazai mez' rekordokra</x:v>
      </x:c>
      <x:c r="H47" s="7" t="str">
        <x:v>A hazai mezek helyes leirassal szerepelnek.</x:v>
      </x:c>
      <x:c r="I47" s="7" t="str">
        <x:v>Megfeleloen mukodott a teszt soran.</x:v>
      </x:c>
      <x:c r="J47" s="7" t="str">
        <x:v>Sikeres</x:v>
      </x:c>
      <x:c r="K47" s="7" t="str"/>
    </x:row>
    <x:row r="48">
      <x:c r="A48" s="7" t="str">
        <x:v>TC_DB_047</x:v>
      </x:c>
      <x:c r="B48" s="7" t="str">
        <x:v>Termekek</x:v>
      </x:c>
      <x:c r="C48" s="7" t="str">
        <x:v>Vendeg mezek helyes leiras mezovel</x:v>
      </x:c>
      <x:c r="D48" s="7" t="str">
        <x:v>Pozitiv</x:v>
      </x:c>
      <x:c r="E48" s="7" t="str">
        <x:v>Kozepes</x:v>
      </x:c>
      <x:c r="F48" s="7" t="str">
        <x:v>termek generator futott</x:v>
      </x:c>
      <x:c r="G48" s="7" t="str">
        <x:v>SELECT leiras='Vendeg mez' rekordokra</x:v>
      </x:c>
      <x:c r="H48" s="7" t="str">
        <x:v>A vendeg mezek helyesen szerepelnek.</x:v>
      </x:c>
      <x:c r="I48" s="7" t="str">
        <x:v>Megfeleloen mukodott a teszt soran.</x:v>
      </x:c>
      <x:c r="J48" s="7" t="str">
        <x:v>Sikeres</x:v>
      </x:c>
      <x:c r="K48" s="7" t="str"/>
    </x:row>
    <x:row r="49">
      <x:c r="A49" s="7" t="str">
        <x:v>TC_DB_048</x:v>
      </x:c>
      <x:c r="B49" s="7" t="str">
        <x:v>Termekek</x:v>
      </x:c>
      <x:c r="C49" s="7" t="str">
        <x:v>Harmadik mezek csak ha van kep</x:v>
      </x:c>
      <x:c r="D49" s="7" t="str">
        <x:v>Integracios</x:v>
      </x:c>
      <x:c r="E49" s="7" t="str">
        <x:v>Magas</x:v>
      </x:c>
      <x:c r="F49" s="7" t="str">
        <x:v>termek generator futott</x:v>
      </x:c>
      <x:c r="G49" s="7" t="str">
        <x:v>Third variansok ellenorzese</x:v>
      </x:c>
      <x:c r="H49" s="7" t="str">
        <x:v>Csak valos third kephez tartozik rekord.</x:v>
      </x:c>
      <x:c r="I49" s="7" t="str">
        <x:v>Megfeleloen mukodott a teszt soran.</x:v>
      </x:c>
      <x:c r="J49" s="7" t="str">
        <x:v>Sikeres</x:v>
      </x:c>
      <x:c r="K49" s="7" t="str"/>
    </x:row>
    <x:row r="50">
      <x:c r="A50" s="7" t="str">
        <x:v>TC_DB_049</x:v>
      </x:c>
      <x:c r="B50" s="7" t="str">
        <x:v>Termekek</x:v>
      </x:c>
      <x:c r="C50" s="7" t="str">
        <x:v>Kep URL helyes tarolasa</x:v>
      </x:c>
      <x:c r="D50" s="7" t="str">
        <x:v>Pozitiv</x:v>
      </x:c>
      <x:c r="E50" s="7" t="str">
        <x:v>Kozepes</x:v>
      </x:c>
      <x:c r="F50" s="7" t="str">
        <x:v>termekek mar fel vannak toltve</x:v>
      </x:c>
      <x:c r="G50" s="7" t="str">
        <x:v>SELECT kep_url ellenorzes</x:v>
      </x:c>
      <x:c r="H50" s="7" t="str">
        <x:v>A kep_url a megfelelo assets eleresi utat tartalmazza.</x:v>
      </x:c>
      <x:c r="I50" s="7" t="str">
        <x:v>Megfeleloen mukodott a teszt soran.</x:v>
      </x:c>
      <x:c r="J50" s="7" t="str">
        <x:v>Sikeres</x:v>
      </x:c>
      <x:c r="K50" s="7" t="str"/>
    </x:row>
    <x:row r="51">
      <x:c r="A51" s="7" t="str">
        <x:v>TC_DB_050</x:v>
      </x:c>
      <x:c r="B51" s="7" t="str">
        <x:v>Termekek</x:v>
      </x:c>
      <x:c r="C51" s="7" t="str">
        <x:v>Arak megfelelnek a frontend logikanak</x:v>
      </x:c>
      <x:c r="D51" s="7" t="str">
        <x:v>Integracios</x:v>
      </x:c>
      <x:c r="E51" s="7" t="str">
        <x:v>Magas</x:v>
      </x:c>
      <x:c r="F51" s="7" t="str">
        <x:v>termek generator a mezek.html logikat hasznalja</x:v>
      </x:c>
      <x:c r="G51" s="7" t="str">
        <x:v>Arak ellenorzese minta termekeken</x:v>
      </x:c>
      <x:c r="H51" s="7" t="str">
        <x:v>Az adatbazisban tarolt ar egyezik a frontend szamolt arral.</x:v>
      </x:c>
      <x:c r="I51" s="7" t="str">
        <x:v>Megfeleloen mukodott a teszt soran.</x:v>
      </x:c>
      <x:c r="J51" s="7" t="str">
        <x:v>Sikeres</x:v>
      </x:c>
      <x:c r="K51" s="7" t="str"/>
    </x:row>
    <x:row r="52">
      <x:c r="A52" s="7" t="str">
        <x:v>TC_DB_051</x:v>
      </x:c>
      <x:c r="B52" s="7" t="str">
        <x:v>Raktar</x:v>
      </x:c>
      <x:c r="C52" s="7" t="str">
        <x:v>Raktar rekord letrehozasa ervenyes termekkel es merettel</x:v>
      </x:c>
      <x:c r="D52" s="7" t="str">
        <x:v>Pozitiv</x:v>
      </x:c>
      <x:c r="E52" s="7" t="str">
        <x:v>Magas</x:v>
      </x:c>
      <x:c r="F52" s="7" t="str">
        <x:v>termek es meret rekord letezik</x:v>
      </x:c>
      <x:c r="G52" s="7" t="str">
        <x:v>INSERT a raktar tablaba</x:v>
      </x:c>
      <x:c r="H52" s="7" t="str">
        <x:v>A rekord letrejon.</x:v>
      </x:c>
      <x:c r="I52" s="7" t="str">
        <x:v>Megfeleloen mukodott a teszt soran.</x:v>
      </x:c>
      <x:c r="J52" s="7" t="str">
        <x:v>Sikeres</x:v>
      </x:c>
      <x:c r="K52" s="7" t="str"/>
    </x:row>
    <x:row r="53">
      <x:c r="A53" s="7" t="str">
        <x:v>TC_DB_052</x:v>
      </x:c>
      <x:c r="B53" s="7" t="str">
        <x:v>Raktar</x:v>
      </x:c>
      <x:c r="C53" s="7" t="str">
        <x:v>Raktar rekord ervenytelen termekkel</x:v>
      </x:c>
      <x:c r="D53" s="7" t="str">
        <x:v>Negativ</x:v>
      </x:c>
      <x:c r="E53" s="7" t="str">
        <x:v>Magas</x:v>
      </x:c>
      <x:c r="F53" s="7" t="str">
        <x:v>termekek tabla letezik</x:v>
      </x:c>
      <x:c r="G53" s="7" t="str">
        <x:v>INSERT 999-es termek_id-vel</x:v>
      </x:c>
      <x:c r="H53" s="7" t="str">
        <x:v>A rendszer FK hibat ad.</x:v>
      </x:c>
      <x:c r="I53" s="7" t="str">
        <x:v>Megfeleloen mukodott a teszt soran.</x:v>
      </x:c>
      <x:c r="J53" s="7" t="str">
        <x:v>Sikeres</x:v>
      </x:c>
      <x:c r="K53" s="7" t="str"/>
    </x:row>
    <x:row r="54">
      <x:c r="A54" s="7" t="str">
        <x:v>TC_DB_053</x:v>
      </x:c>
      <x:c r="B54" s="7" t="str">
        <x:v>Raktar</x:v>
      </x:c>
      <x:c r="C54" s="7" t="str">
        <x:v>Raktar rekord ervenytelen merettel</x:v>
      </x:c>
      <x:c r="D54" s="7" t="str">
        <x:v>Negativ</x:v>
      </x:c>
      <x:c r="E54" s="7" t="str">
        <x:v>Magas</x:v>
      </x:c>
      <x:c r="F54" s="7" t="str">
        <x:v>meretek tabla letezik</x:v>
      </x:c>
      <x:c r="G54" s="7" t="str">
        <x:v>INSERT 999-es meret_id-vel</x:v>
      </x:c>
      <x:c r="H54" s="7" t="str">
        <x:v>A rendszer FK hibat ad.</x:v>
      </x:c>
      <x:c r="I54" s="7" t="str">
        <x:v>Megfeleloen mukodott a teszt soran.</x:v>
      </x:c>
      <x:c r="J54" s="7" t="str">
        <x:v>Sikeres</x:v>
      </x:c>
      <x:c r="K54" s="7" t="str"/>
    </x:row>
    <x:row r="55">
      <x:c r="A55" s="7" t="str">
        <x:v>TC_DB_054</x:v>
      </x:c>
      <x:c r="B55" s="7" t="str">
        <x:v>Raktar</x:v>
      </x:c>
      <x:c r="C55" s="7" t="str">
        <x:v>Raktar egyedi termek-meret par ellenorzese</x:v>
      </x:c>
      <x:c r="D55" s="7" t="str">
        <x:v>Negativ</x:v>
      </x:c>
      <x:c r="E55" s="7" t="str">
        <x:v>Magas</x:v>
      </x:c>
      <x:c r="F55" s="7" t="str">
        <x:v>Mar letezik ugyanaz a termek_id es meret_id par</x:v>
      </x:c>
      <x:c r="G55" s="7" t="str">
        <x:v>Ujra beszuras ugyanazzal a parral</x:v>
      </x:c>
      <x:c r="H55" s="7" t="str">
        <x:v>Az UNIQUE megszoritas megakadalyozza a duplikaciot.</x:v>
      </x:c>
      <x:c r="I55" s="7" t="str">
        <x:v>Megfeleloen mukodott a teszt soran.</x:v>
      </x:c>
      <x:c r="J55" s="7" t="str">
        <x:v>Sikeres</x:v>
      </x:c>
      <x:c r="K55" s="7" t="str"/>
    </x:row>
    <x:row r="56">
      <x:c r="A56" s="7" t="str">
        <x:v>TC_DB_055</x:v>
      </x:c>
      <x:c r="B56" s="7" t="str">
        <x:v>Raktar</x:v>
      </x:c>
      <x:c r="C56" s="7" t="str">
        <x:v>Raktar attekinto JOIN lekérdezés</x:v>
      </x:c>
      <x:c r="D56" s="7" t="str">
        <x:v>Lekerdezes</x:v>
      </x:c>
      <x:c r="E56" s="7" t="str">
        <x:v>Magas</x:v>
      </x:c>
      <x:c r="F56" s="7" t="str">
        <x:v>termekek, meretek es raktar fel vannak toltve</x:v>
      </x:c>
      <x:c r="G56" s="7" t="str">
        <x:v>SELECT ... JOIN termekek, meretek</x:v>
      </x:c>
      <x:c r="H56" s="7" t="str">
        <x:v>A csapatnev, leiras, meret es mennyiseg helyesen jelenik meg.</x:v>
      </x:c>
      <x:c r="I56" s="7" t="str">
        <x:v>Megfeleloen mukodott a teszt soran.</x:v>
      </x:c>
      <x:c r="J56" s="7" t="str">
        <x:v>Sikeres</x:v>
      </x:c>
      <x:c r="K56" s="7" t="str"/>
    </x:row>
    <x:row r="57">
      <x:c r="A57" s="7" t="str">
        <x:v>TC_DB_056</x:v>
      </x:c>
      <x:c r="B57" s="7" t="str">
        <x:v>Csapatok/Stadionok</x:v>
      </x:c>
      <x:c r="C57" s="7" t="str">
        <x:v>Csapat rekord letrehozasa</x:v>
      </x:c>
      <x:c r="D57" s="7" t="str">
        <x:v>Pozitiv</x:v>
      </x:c>
      <x:c r="E57" s="7" t="str">
        <x:v>Kozepes</x:v>
      </x:c>
      <x:c r="F57" s="7" t="str">
        <x:v>csapatok tabla elerheto</x:v>
      </x:c>
      <x:c r="G57" s="7" t="str">
        <x:v>INSERT uj csapat</x:v>
      </x:c>
      <x:c r="H57" s="7" t="str">
        <x:v>A csapat letrejon.</x:v>
      </x:c>
      <x:c r="I57" s="7" t="str">
        <x:v>Megfeleloen mukodott a teszt soran.</x:v>
      </x:c>
      <x:c r="J57" s="7" t="str">
        <x:v>Sikeres</x:v>
      </x:c>
      <x:c r="K57" s="7" t="str"/>
    </x:row>
    <x:row r="58">
      <x:c r="A58" s="7" t="str">
        <x:v>TC_DB_057</x:v>
      </x:c>
      <x:c r="B58" s="7" t="str">
        <x:v>Csapatok/Stadionok</x:v>
      </x:c>
      <x:c r="C58" s="7" t="str">
        <x:v>Stadion rekord letrehozasa</x:v>
      </x:c>
      <x:c r="D58" s="7" t="str">
        <x:v>Pozitiv</x:v>
      </x:c>
      <x:c r="E58" s="7" t="str">
        <x:v>Kozepes</x:v>
      </x:c>
      <x:c r="F58" s="7" t="str">
        <x:v>stadionok tabla elerheto</x:v>
      </x:c>
      <x:c r="G58" s="7" t="str">
        <x:v>INSERT uj stadion ervenyes csapat_id-val</x:v>
      </x:c>
      <x:c r="H58" s="7" t="str">
        <x:v>A stadion letrejon.</x:v>
      </x:c>
      <x:c r="I58" s="7" t="str">
        <x:v>Megfeleloen mukodott a teszt soran.</x:v>
      </x:c>
      <x:c r="J58" s="7" t="str">
        <x:v>Sikeres</x:v>
      </x:c>
      <x:c r="K58" s="7" t="str"/>
    </x:row>
    <x:row r="59">
      <x:c r="A59" s="7" t="str">
        <x:v>TC_DB_058</x:v>
      </x:c>
      <x:c r="B59" s="7" t="str">
        <x:v>Csapatok/Stadionok</x:v>
      </x:c>
      <x:c r="C59" s="7" t="str">
        <x:v>Stadion ervenytelen csapat_id-val</x:v>
      </x:c>
      <x:c r="D59" s="7" t="str">
        <x:v>Negativ</x:v>
      </x:c>
      <x:c r="E59" s="7" t="str">
        <x:v>Kozepes</x:v>
      </x:c>
      <x:c r="F59" s="7" t="str">
        <x:v>csapatok tabla elerheto</x:v>
      </x:c>
      <x:c r="G59" s="7" t="str">
        <x:v>INSERT stadion 999-es csapat_id-val</x:v>
      </x:c>
      <x:c r="H59" s="7" t="str">
        <x:v>A rendszer FK hibat ad.</x:v>
      </x:c>
      <x:c r="I59" s="7" t="str">
        <x:v>Megfeleloen mukodott a teszt soran.</x:v>
      </x:c>
      <x:c r="J59" s="7" t="str">
        <x:v>Sikeres</x:v>
      </x:c>
      <x:c r="K59" s="7" t="str"/>
    </x:row>
    <x:row r="60">
      <x:c r="A60" s="7" t="str">
        <x:v>TC_DB_059</x:v>
      </x:c>
      <x:c r="B60" s="7" t="str">
        <x:v>Meccsek</x:v>
      </x:c>
      <x:c r="C60" s="7" t="str">
        <x:v>Meccs letrehozasa ervenyes adatokkal</x:v>
      </x:c>
      <x:c r="D60" s="7" t="str">
        <x:v>Pozitiv</x:v>
      </x:c>
      <x:c r="E60" s="7" t="str">
        <x:v>Magas</x:v>
      </x:c>
      <x:c r="F60" s="7" t="str">
        <x:v>Hazai es vendeg csapat, stadion letezik</x:v>
      </x:c>
      <x:c r="G60" s="7" t="str">
        <x:v>INSERT vagy SELECT alapú beszuras</x:v>
      </x:c>
      <x:c r="H60" s="7" t="str">
        <x:v>A meccs sikeresen letrejon.</x:v>
      </x:c>
      <x:c r="I60" s="7" t="str">
        <x:v>Megfeleloen mukodott a teszt soran.</x:v>
      </x:c>
      <x:c r="J60" s="7" t="str">
        <x:v>Sikeres</x:v>
      </x:c>
      <x:c r="K60" s="7" t="str"/>
    </x:row>
    <x:row r="61">
      <x:c r="A61" s="7" t="str">
        <x:v>TC_DB_060</x:v>
      </x:c>
      <x:c r="B61" s="7" t="str">
        <x:v>Meccsek</x:v>
      </x:c>
      <x:c r="C61" s="7" t="str">
        <x:v>Meccs letrehozasa azonos hazai es vendeg csapattal</x:v>
      </x:c>
      <x:c r="D61" s="7" t="str">
        <x:v>Negativ</x:v>
      </x:c>
      <x:c r="E61" s="7" t="str">
        <x:v>Magas</x:v>
      </x:c>
      <x:c r="F61" s="7" t="str">
        <x:v>CHECK megszoritas aktiv</x:v>
      </x:c>
      <x:c r="G61" s="7" t="str">
        <x:v>INSERT hazai_csapat_id = vendeg_csapat_id</x:v>
      </x:c>
      <x:c r="H61" s="7" t="str">
        <x:v>A rendszer hibaval elutasitja a beszurast.</x:v>
      </x:c>
      <x:c r="I61" s="7" t="str">
        <x:v>Megfeleloen mukodott a teszt soran.</x:v>
      </x:c>
      <x:c r="J61" s="7" t="str">
        <x:v>Sikeres</x:v>
      </x:c>
      <x:c r="K61" s="7" t="str"/>
    </x:row>
    <x:row r="62">
      <x:c r="A62" s="7" t="str">
        <x:v>TC_DB_061</x:v>
      </x:c>
      <x:c r="B62" s="7" t="str">
        <x:v>Meccsek</x:v>
      </x:c>
      <x:c r="C62" s="7" t="str">
        <x:v>Meccs ervenytelen stadionnal</x:v>
      </x:c>
      <x:c r="D62" s="7" t="str">
        <x:v>Negativ</x:v>
      </x:c>
      <x:c r="E62" s="7" t="str">
        <x:v>Magas</x:v>
      </x:c>
      <x:c r="F62" s="7" t="str">
        <x:v>stadionok tabla letezik</x:v>
      </x:c>
      <x:c r="G62" s="7" t="str">
        <x:v>INSERT 999-es stadion_id-val</x:v>
      </x:c>
      <x:c r="H62" s="7" t="str">
        <x:v>A rendszer FK hibat ad.</x:v>
      </x:c>
      <x:c r="I62" s="7" t="str">
        <x:v>Megfeleloen mukodott a teszt soran.</x:v>
      </x:c>
      <x:c r="J62" s="7" t="str">
        <x:v>Sikeres</x:v>
      </x:c>
      <x:c r="K62" s="7" t="str"/>
    </x:row>
    <x:row r="63">
      <x:c r="A63" s="7" t="str">
        <x:v>TC_DB_062</x:v>
      </x:c>
      <x:c r="B63" s="7" t="str">
        <x:v>Meccsek</x:v>
      </x:c>
      <x:c r="C63" s="7" t="str">
        <x:v>Meccs listazas stadion nevvel</x:v>
      </x:c>
      <x:c r="D63" s="7" t="str">
        <x:v>Lekerdezes</x:v>
      </x:c>
      <x:c r="E63" s="7" t="str">
        <x:v>Kozepes</x:v>
      </x:c>
      <x:c r="F63" s="7" t="str">
        <x:v>meccsek, csapatok, stadionok fel vannak toltve</x:v>
      </x:c>
      <x:c r="G63" s="7" t="str">
        <x:v>JOIN lekérdezés a tablákra</x:v>
      </x:c>
      <x:c r="H63" s="7" t="str">
        <x:v>A hazai csapat, vendeg csapat es stadion helyesen latszik.</x:v>
      </x:c>
      <x:c r="I63" s="7" t="str">
        <x:v>Megfeleloen mukodott a teszt soran.</x:v>
      </x:c>
      <x:c r="J63" s="7" t="str">
        <x:v>Sikeres</x:v>
      </x:c>
      <x:c r="K63" s="7" t="str"/>
    </x:row>
    <x:row r="64">
      <x:c r="A64" s="7" t="str">
        <x:v>TC_DB_063</x:v>
      </x:c>
      <x:c r="B64" s="7" t="str">
        <x:v>Meccsek</x:v>
      </x:c>
      <x:c r="C64" s="7" t="str">
        <x:v>Jegyar tarolasa</x:v>
      </x:c>
      <x:c r="D64" s="7" t="str">
        <x:v>Pozitiv</x:v>
      </x:c>
      <x:c r="E64" s="7" t="str">
        <x:v>Alacsony</x:v>
      </x:c>
      <x:c r="F64" s="7" t="str">
        <x:v>meccsek tabla elerheto</x:v>
      </x:c>
      <x:c r="G64" s="7" t="str">
        <x:v>INSERT tizedes jegyar ertekkel</x:v>
      </x:c>
      <x:c r="H64" s="7" t="str">
        <x:v>A jegyar helyesen tarolodik.</x:v>
      </x:c>
      <x:c r="I64" s="7" t="str">
        <x:v>Megfeleloen mukodott a teszt soran.</x:v>
      </x:c>
      <x:c r="J64" s="7" t="str">
        <x:v>Sikeres</x:v>
      </x:c>
      <x:c r="K64" s="7" t="str"/>
    </x:row>
    <x:row r="65">
      <x:c r="A65" s="7" t="str">
        <x:v>TC_DB_064</x:v>
      </x:c>
      <x:c r="B65" s="7" t="str">
        <x:v>Utazasok</x:v>
      </x:c>
      <x:c r="C65" s="7" t="str">
        <x:v>Utazas letrehozasa ervenyes meccshez</x:v>
      </x:c>
      <x:c r="D65" s="7" t="str">
        <x:v>Pozitiv</x:v>
      </x:c>
      <x:c r="E65" s="7" t="str">
        <x:v>Magas</x:v>
      </x:c>
      <x:c r="F65" s="7" t="str">
        <x:v>meccs letezik</x:v>
      </x:c>
      <x:c r="G65" s="7" t="str">
        <x:v>INSERT utazas meccs_id-val</x:v>
      </x:c>
      <x:c r="H65" s="7" t="str">
        <x:v>Az utazas letrejon.</x:v>
      </x:c>
      <x:c r="I65" s="7" t="str">
        <x:v>Megfeleloen mukodott a teszt soran.</x:v>
      </x:c>
      <x:c r="J65" s="7" t="str">
        <x:v>Sikeres</x:v>
      </x:c>
      <x:c r="K65" s="7" t="str"/>
    </x:row>
    <x:row r="66">
      <x:c r="A66" s="7" t="str">
        <x:v>TC_DB_065</x:v>
      </x:c>
      <x:c r="B66" s="7" t="str">
        <x:v>Utazasok</x:v>
      </x:c>
      <x:c r="C66" s="7" t="str">
        <x:v>Utazas letrehozasa ervenytelen meccshez</x:v>
      </x:c>
      <x:c r="D66" s="7" t="str">
        <x:v>Negativ</x:v>
      </x:c>
      <x:c r="E66" s="7" t="str">
        <x:v>Magas</x:v>
      </x:c>
      <x:c r="F66" s="7" t="str">
        <x:v>meccsek tabla letezik</x:v>
      </x:c>
      <x:c r="G66" s="7" t="str">
        <x:v>INSERT 999-es meccs_id-val</x:v>
      </x:c>
      <x:c r="H66" s="7" t="str">
        <x:v>A rendszer FK hibat ad.</x:v>
      </x:c>
      <x:c r="I66" s="7" t="str">
        <x:v>Megfeleloen mukodott a teszt soran.</x:v>
      </x:c>
      <x:c r="J66" s="7" t="str">
        <x:v>Sikeres</x:v>
      </x:c>
      <x:c r="K66" s="7" t="str"/>
    </x:row>
    <x:row r="67">
      <x:c r="A67" s="7" t="str">
        <x:v>TC_DB_066</x:v>
      </x:c>
      <x:c r="B67" s="7" t="str">
        <x:v>Utazasok</x:v>
      </x:c>
      <x:c r="C67" s="7" t="str">
        <x:v>Utazas varosok es idopontok tarolasa</x:v>
      </x:c>
      <x:c r="D67" s="7" t="str">
        <x:v>Pozitiv</x:v>
      </x:c>
      <x:c r="E67" s="7" t="str">
        <x:v>Kozepes</x:v>
      </x:c>
      <x:c r="F67" s="7" t="str">
        <x:v>utazasok tabla elerheto</x:v>
      </x:c>
      <x:c r="G67" s="7" t="str">
        <x:v>INSERT indulasi/erkezesi adatokkal</x:v>
      </x:c>
      <x:c r="H67" s="7" t="str">
        <x:v>Az adatok megfeleloen tarolodnak.</x:v>
      </x:c>
      <x:c r="I67" s="7" t="str">
        <x:v>Megfeleloen mukodott a teszt soran.</x:v>
      </x:c>
      <x:c r="J67" s="7" t="str">
        <x:v>Sikeres</x:v>
      </x:c>
      <x:c r="K67" s="7" t="str"/>
    </x:row>
    <x:row r="68">
      <x:c r="A68" s="7" t="str">
        <x:v>TC_DB_067</x:v>
      </x:c>
      <x:c r="B68" s="7" t="str">
        <x:v>Utazasok</x:v>
      </x:c>
      <x:c r="C68" s="7" t="str">
        <x:v>Utazasok listazasa meccs adatokkal</x:v>
      </x:c>
      <x:c r="D68" s="7" t="str">
        <x:v>Lekerdezes</x:v>
      </x:c>
      <x:c r="E68" s="7" t="str">
        <x:v>Kozepes</x:v>
      </x:c>
      <x:c r="F68" s="7" t="str">
        <x:v>utazasok es meccsek fel vannak toltve</x:v>
      </x:c>
      <x:c r="G68" s="7" t="str">
        <x:v>JOIN utazasok + meccsek + csapatok</x:v>
      </x:c>
      <x:c r="H68" s="7" t="str">
        <x:v>A meccshez tartozo utazasok helyesen jelennek meg.</x:v>
      </x:c>
      <x:c r="I68" s="7" t="str">
        <x:v>Megfeleloen mukodott a teszt soran.</x:v>
      </x:c>
      <x:c r="J68" s="7" t="str">
        <x:v>Sikeres</x:v>
      </x:c>
      <x:c r="K68" s="7" t="str"/>
    </x:row>
    <x:row r="69">
      <x:c r="A69" s="7" t="str">
        <x:v>TC_DB_068</x:v>
      </x:c>
      <x:c r="B69" s="7" t="str">
        <x:v>Szallasok</x:v>
      </x:c>
      <x:c r="C69" s="7" t="str">
        <x:v>Szallas letrehozasa</x:v>
      </x:c>
      <x:c r="D69" s="7" t="str">
        <x:v>Pozitiv</x:v>
      </x:c>
      <x:c r="E69" s="7" t="str">
        <x:v>Kozepes</x:v>
      </x:c>
      <x:c r="F69" s="7" t="str">
        <x:v>szallasok tabla elerheto</x:v>
      </x:c>
      <x:c r="G69" s="7" t="str">
        <x:v>INSERT szallas adatokkal</x:v>
      </x:c>
      <x:c r="H69" s="7" t="str">
        <x:v>A szallas letrejon.</x:v>
      </x:c>
      <x:c r="I69" s="7" t="str">
        <x:v>Megfeleloen mukodott a teszt soran.</x:v>
      </x:c>
      <x:c r="J69" s="7" t="str">
        <x:v>Sikeres</x:v>
      </x:c>
      <x:c r="K69" s="7" t="str"/>
    </x:row>
    <x:row r="70">
      <x:c r="A70" s="7" t="str">
        <x:v>TC_DB_069</x:v>
      </x:c>
      <x:c r="B70" s="7" t="str">
        <x:v>Szallasok</x:v>
      </x:c>
      <x:c r="C70" s="7" t="str">
        <x:v>Szallas ejszakankenti ar tarolasa</x:v>
      </x:c>
      <x:c r="D70" s="7" t="str">
        <x:v>Pozitiv</x:v>
      </x:c>
      <x:c r="E70" s="7" t="str">
        <x:v>Alacsony</x:v>
      </x:c>
      <x:c r="F70" s="7" t="str">
        <x:v>szallasok tabla elerheto</x:v>
      </x:c>
      <x:c r="G70" s="7" t="str">
        <x:v>INSERT DECIMAL ertekkel</x:v>
      </x:c>
      <x:c r="H70" s="7" t="str">
        <x:v>Az ar_egy_ejszaka helyesen tarolodik.</x:v>
      </x:c>
      <x:c r="I70" s="7" t="str">
        <x:v>Megfeleloen mukodott a teszt soran.</x:v>
      </x:c>
      <x:c r="J70" s="7" t="str">
        <x:v>Sikeres</x:v>
      </x:c>
      <x:c r="K70" s="7" t="str"/>
    </x:row>
    <x:row r="71">
      <x:c r="A71" s="7" t="str">
        <x:v>TC_DB_070</x:v>
      </x:c>
      <x:c r="B71" s="7" t="str">
        <x:v>Szallasok</x:v>
      </x:c>
      <x:c r="C71" s="7" t="str">
        <x:v>Szallasok varos szerinti listazasa</x:v>
      </x:c>
      <x:c r="D71" s="7" t="str">
        <x:v>Lekerdezes</x:v>
      </x:c>
      <x:c r="E71" s="7" t="str">
        <x:v>Alacsony</x:v>
      </x:c>
      <x:c r="F71" s="7" t="str">
        <x:v>Van tobb szallas rekord</x:v>
      </x:c>
      <x:c r="G71" s="7" t="str">
        <x:v>SELECT * FROM szallasok ORDER BY varos</x:v>
      </x:c>
      <x:c r="H71" s="7" t="str">
        <x:v>A szallasok rendezve jelennek meg.</x:v>
      </x:c>
      <x:c r="I71" s="7" t="str">
        <x:v>Megfeleloen mukodott a teszt soran.</x:v>
      </x:c>
      <x:c r="J71" s="7" t="str">
        <x:v>Sikeres</x:v>
      </x:c>
      <x:c r="K71" s="7" t="str"/>
    </x:row>
    <x:row r="72">
      <x:c r="A72" s="7" t="str">
        <x:v>TC_DB_071</x:v>
      </x:c>
      <x:c r="B72" s="7" t="str">
        <x:v>Foglalasok</x:v>
      </x:c>
      <x:c r="C72" s="7" t="str">
        <x:v>Ervenyes foglalas letrehozasa</x:v>
      </x:c>
      <x:c r="D72" s="7" t="str">
        <x:v>Pozitiv</x:v>
      </x:c>
      <x:c r="E72" s="7" t="str">
        <x:v>Magas</x:v>
      </x:c>
      <x:c r="F72" s="7" t="str">
        <x:v>Letezik felhasznalo, utazas, szallas</x:v>
      </x:c>
      <x:c r="G72" s="7" t="str">
        <x:v>INSERT ervenyes FK ertekekkel</x:v>
      </x:c>
      <x:c r="H72" s="7" t="str">
        <x:v>A foglalas letrejon.</x:v>
      </x:c>
      <x:c r="I72" s="7" t="str">
        <x:v>Megfeleloen mukodott a teszt soran.</x:v>
      </x:c>
      <x:c r="J72" s="7" t="str">
        <x:v>Sikeres</x:v>
      </x:c>
      <x:c r="K72" s="7" t="str"/>
    </x:row>
    <x:row r="73">
      <x:c r="A73" s="7" t="str">
        <x:v>TC_DB_072</x:v>
      </x:c>
      <x:c r="B73" s="7" t="str">
        <x:v>Foglalasok</x:v>
      </x:c>
      <x:c r="C73" s="7" t="str">
        <x:v>Foglalas nem letezo felhasznaloval</x:v>
      </x:c>
      <x:c r="D73" s="7" t="str">
        <x:v>Negativ</x:v>
      </x:c>
      <x:c r="E73" s="7" t="str">
        <x:v>Magas</x:v>
      </x:c>
      <x:c r="F73" s="7" t="str">
        <x:v>foglalasok tabla elerheto</x:v>
      </x:c>
      <x:c r="G73" s="7" t="str">
        <x:v>INSERT 999-es felhasznalo_id-val</x:v>
      </x:c>
      <x:c r="H73" s="7" t="str">
        <x:v>A rendszer FK hibat ad.</x:v>
      </x:c>
      <x:c r="I73" s="7" t="str">
        <x:v>Megfeleloen mukodott a teszt soran.</x:v>
      </x:c>
      <x:c r="J73" s="7" t="str">
        <x:v>Sikeres</x:v>
      </x:c>
      <x:c r="K73" s="7" t="str"/>
    </x:row>
    <x:row r="74">
      <x:c r="A74" s="7" t="str">
        <x:v>TC_DB_073</x:v>
      </x:c>
      <x:c r="B74" s="7" t="str">
        <x:v>Foglalasok</x:v>
      </x:c>
      <x:c r="C74" s="7" t="str">
        <x:v>Foglalas nem letezo utazassal</x:v>
      </x:c>
      <x:c r="D74" s="7" t="str">
        <x:v>Negativ</x:v>
      </x:c>
      <x:c r="E74" s="7" t="str">
        <x:v>Magas</x:v>
      </x:c>
      <x:c r="F74" s="7" t="str">
        <x:v>foglalasok tabla elerheto</x:v>
      </x:c>
      <x:c r="G74" s="7" t="str">
        <x:v>INSERT 999-es utazas_id-val</x:v>
      </x:c>
      <x:c r="H74" s="7" t="str">
        <x:v>A rendszer FK hibat ad.</x:v>
      </x:c>
      <x:c r="I74" s="7" t="str">
        <x:v>Megfeleloen mukodott a teszt soran.</x:v>
      </x:c>
      <x:c r="J74" s="7" t="str">
        <x:v>Sikeres</x:v>
      </x:c>
      <x:c r="K74" s="7" t="str"/>
    </x:row>
    <x:row r="75">
      <x:c r="A75" s="7" t="str">
        <x:v>TC_DB_074</x:v>
      </x:c>
      <x:c r="B75" s="7" t="str">
        <x:v>Foglalasok</x:v>
      </x:c>
      <x:c r="C75" s="7" t="str">
        <x:v>Foglalas nem letezo szallassal</x:v>
      </x:c>
      <x:c r="D75" s="7" t="str">
        <x:v>Negativ</x:v>
      </x:c>
      <x:c r="E75" s="7" t="str">
        <x:v>Magas</x:v>
      </x:c>
      <x:c r="F75" s="7" t="str">
        <x:v>foglalasok tabla elerheto</x:v>
      </x:c>
      <x:c r="G75" s="7" t="str">
        <x:v>INSERT 999-es szallas_id-val</x:v>
      </x:c>
      <x:c r="H75" s="7" t="str">
        <x:v>A rendszer FK hibat ad.</x:v>
      </x:c>
      <x:c r="I75" s="7" t="str">
        <x:v>Megfeleloen mukodott a teszt soran.</x:v>
      </x:c>
      <x:c r="J75" s="7" t="str">
        <x:v>Sikeres</x:v>
      </x:c>
      <x:c r="K75" s="7" t="str"/>
    </x:row>
    <x:row r="76">
      <x:c r="A76" s="7" t="str">
        <x:v>TC_DB_075</x:v>
      </x:c>
      <x:c r="B76" s="7" t="str">
        <x:v>Foglalasok</x:v>
      </x:c>
      <x:c r="C76" s="7" t="str">
        <x:v>Foglalas listazas felhasznaloval es szallassal</x:v>
      </x:c>
      <x:c r="D76" s="7" t="str">
        <x:v>Lekerdezes</x:v>
      </x:c>
      <x:c r="E76" s="7" t="str">
        <x:v>Kozepes</x:v>
      </x:c>
      <x:c r="F76" s="7" t="str">
        <x:v>Minden erintett tabla tartalmaz adatot</x:v>
      </x:c>
      <x:c r="G76" s="7" t="str">
        <x:v>JOIN foglalasok + felhasznalok + szallasok</x:v>
      </x:c>
      <x:c r="H76" s="7" t="str">
        <x:v>Az adatok helyesen lathatok.</x:v>
      </x:c>
      <x:c r="I76" s="7" t="str">
        <x:v>Megfeleloen mukodott a teszt soran.</x:v>
      </x:c>
      <x:c r="J76" s="7" t="str">
        <x:v>Sikeres</x:v>
      </x:c>
      <x:c r="K76" s="7" t="str"/>
    </x:row>
    <x:row r="77">
      <x:c r="A77" s="7" t="str">
        <x:v>TC_DB_076</x:v>
      </x:c>
      <x:c r="B77" s="7" t="str">
        <x:v>Foglalasok</x:v>
      </x:c>
      <x:c r="C77" s="7" t="str">
        <x:v>Fizetve mezo logikai ertek tarolasa</x:v>
      </x:c>
      <x:c r="D77" s="7" t="str">
        <x:v>Pozitiv</x:v>
      </x:c>
      <x:c r="E77" s="7" t="str">
        <x:v>Alacsony</x:v>
      </x:c>
      <x:c r="F77" s="7" t="str">
        <x:v>foglalasok tabla elerheto</x:v>
      </x:c>
      <x:c r="G77" s="7" t="str">
        <x:v>INSERT fizetve = 0 vagy 1</x:v>
      </x:c>
      <x:c r="H77" s="7" t="str">
        <x:v>A logikai ertek helyesen tarolodik.</x:v>
      </x:c>
      <x:c r="I77" s="7" t="str">
        <x:v>Megfeleloen mukodott a teszt soran.</x:v>
      </x:c>
      <x:c r="J77" s="7" t="str">
        <x:v>Sikeres</x:v>
      </x:c>
      <x:c r="K77" s="7" t="str"/>
    </x:row>
    <x:row r="78">
      <x:c r="A78" s="7" t="str">
        <x:v>TC_DB_077</x:v>
      </x:c>
      <x:c r="B78" s="7" t="str">
        <x:v>Rendelesek</x:v>
      </x:c>
      <x:c r="C78" s="7" t="str">
        <x:v>Ervenyes rendeles letrehozasa</x:v>
      </x:c>
      <x:c r="D78" s="7" t="str">
        <x:v>Pozitiv</x:v>
      </x:c>
      <x:c r="E78" s="7" t="str">
        <x:v>Magas</x:v>
      </x:c>
      <x:c r="F78" s="7" t="str">
        <x:v>Letezik felhasznalo</x:v>
      </x:c>
      <x:c r="G78" s="7" t="str">
        <x:v>INSERT ervenyes felhasznalo_id-val</x:v>
      </x:c>
      <x:c r="H78" s="7" t="str">
        <x:v>A rendeles letrejon.</x:v>
      </x:c>
      <x:c r="I78" s="7" t="str">
        <x:v>Megfeleloen mukodott a teszt soran.</x:v>
      </x:c>
      <x:c r="J78" s="7" t="str">
        <x:v>Sikeres</x:v>
      </x:c>
      <x:c r="K78" s="7" t="str"/>
    </x:row>
    <x:row r="79">
      <x:c r="A79" s="7" t="str">
        <x:v>TC_DB_078</x:v>
      </x:c>
      <x:c r="B79" s="7" t="str">
        <x:v>Rendelesek</x:v>
      </x:c>
      <x:c r="C79" s="7" t="str">
        <x:v>Rendeles nem letezo felhasznaloval</x:v>
      </x:c>
      <x:c r="D79" s="7" t="str">
        <x:v>Negativ</x:v>
      </x:c>
      <x:c r="E79" s="7" t="str">
        <x:v>Magas</x:v>
      </x:c>
      <x:c r="F79" s="7" t="str">
        <x:v>rendelesek tabla elerheto</x:v>
      </x:c>
      <x:c r="G79" s="7" t="str">
        <x:v>INSERT 999-es felhasznalo_id-val</x:v>
      </x:c>
      <x:c r="H79" s="7" t="str">
        <x:v>A rendszer FK hibat ad.</x:v>
      </x:c>
      <x:c r="I79" s="7" t="str">
        <x:v>Megfeleloen mukodott a teszt soran.</x:v>
      </x:c>
      <x:c r="J79" s="7" t="str">
        <x:v>Sikeres</x:v>
      </x:c>
      <x:c r="K79" s="7" t="str"/>
    </x:row>
    <x:row r="80">
      <x:c r="A80" s="7" t="str">
        <x:v>TC_DB_079</x:v>
      </x:c>
      <x:c r="B80" s="7" t="str">
        <x:v>Rendelesek</x:v>
      </x:c>
      <x:c r="C80" s="7" t="str">
        <x:v>Rendeles allapot alapertelmezett erteke</x:v>
      </x:c>
      <x:c r="D80" s="7" t="str">
        <x:v>Pozitiv</x:v>
      </x:c>
      <x:c r="E80" s="7" t="str">
        <x:v>Kozepes</x:v>
      </x:c>
      <x:c r="F80" s="7" t="str">
        <x:v>rendelesek tabla elerheto</x:v>
      </x:c>
      <x:c r="G80" s="7" t="str">
        <x:v>INSERT allapot megadasa nelkul</x:v>
      </x:c>
      <x:c r="H80" s="7" t="str">
        <x:v>Az allapot alapertelmezett erteke helyesen kitoltodik.</x:v>
      </x:c>
      <x:c r="I80" s="7" t="str">
        <x:v>Megfeleloen mukodott a teszt soran.</x:v>
      </x:c>
      <x:c r="J80" s="7" t="str">
        <x:v>Sikeres</x:v>
      </x:c>
      <x:c r="K80" s="7" t="str"/>
    </x:row>
    <x:row r="81">
      <x:c r="A81" s="7" t="str">
        <x:v>TC_DB_080</x:v>
      </x:c>
      <x:c r="B81" s="7" t="str">
        <x:v>Rendelesek</x:v>
      </x:c>
      <x:c r="C81" s="7" t="str">
        <x:v>Rendeles datum alapertelmezett kitoltese</x:v>
      </x:c>
      <x:c r="D81" s="7" t="str">
        <x:v>Pozitiv</x:v>
      </x:c>
      <x:c r="E81" s="7" t="str">
        <x:v>Kozepes</x:v>
      </x:c>
      <x:c r="F81" s="7" t="str">
        <x:v>rendelesek tabla elerheto</x:v>
      </x:c>
      <x:c r="G81" s="7" t="str">
        <x:v>INSERT datum megadasa nelkul</x:v>
      </x:c>
      <x:c r="H81" s="7" t="str">
        <x:v>A datum automatikusan kitoltodik.</x:v>
      </x:c>
      <x:c r="I81" s="7" t="str">
        <x:v>Megfeleloen mukodott a teszt soran.</x:v>
      </x:c>
      <x:c r="J81" s="7" t="str">
        <x:v>Sikeres</x:v>
      </x:c>
      <x:c r="K81" s="7" t="str"/>
    </x:row>
    <x:row r="82">
      <x:c r="A82" s="7" t="str">
        <x:v>TC_DB_081</x:v>
      </x:c>
      <x:c r="B82" s="7" t="str">
        <x:v>Rendeles tetelekkel</x:v>
      </x:c>
      <x:c r="C82" s="7" t="str">
        <x:v>Ervenyes rendelestetel letrehozasa</x:v>
      </x:c>
      <x:c r="D82" s="7" t="str">
        <x:v>Pozitiv</x:v>
      </x:c>
      <x:c r="E82" s="7" t="str">
        <x:v>Magas</x:v>
      </x:c>
      <x:c r="F82" s="7" t="str">
        <x:v>Letezik rendeles, termek es meret</x:v>
      </x:c>
      <x:c r="G82" s="7" t="str">
        <x:v>INSERT rendeles_tetelek rekord</x:v>
      </x:c>
      <x:c r="H82" s="7" t="str">
        <x:v>A tetel letrejon.</x:v>
      </x:c>
      <x:c r="I82" s="7" t="str">
        <x:v>Megfeleloen mukodott a teszt soran.</x:v>
      </x:c>
      <x:c r="J82" s="7" t="str">
        <x:v>Sikeres</x:v>
      </x:c>
      <x:c r="K82" s="7" t="str"/>
    </x:row>
    <x:row r="83">
      <x:c r="A83" s="7" t="str">
        <x:v>TC_DB_082</x:v>
      </x:c>
      <x:c r="B83" s="7" t="str">
        <x:v>Rendeles tetelekkel</x:v>
      </x:c>
      <x:c r="C83" s="7" t="str">
        <x:v>Rendelestetel ervenytelen termekkel</x:v>
      </x:c>
      <x:c r="D83" s="7" t="str">
        <x:v>Negativ</x:v>
      </x:c>
      <x:c r="E83" s="7" t="str">
        <x:v>Magas</x:v>
      </x:c>
      <x:c r="F83" s="7" t="str">
        <x:v>rendeles_tetelek tabla elerheto</x:v>
      </x:c>
      <x:c r="G83" s="7" t="str">
        <x:v>INSERT 999-es termek_id-val</x:v>
      </x:c>
      <x:c r="H83" s="7" t="str">
        <x:v>A rendszer FK hibat ad.</x:v>
      </x:c>
      <x:c r="I83" s="7" t="str">
        <x:v>Megfeleloen mukodott a teszt soran.</x:v>
      </x:c>
      <x:c r="J83" s="7" t="str">
        <x:v>Sikeres</x:v>
      </x:c>
      <x:c r="K83" s="7" t="str"/>
    </x:row>
    <x:row r="84">
      <x:c r="A84" s="7" t="str">
        <x:v>TC_DB_083</x:v>
      </x:c>
      <x:c r="B84" s="7" t="str">
        <x:v>Rendeles tetelekkel</x:v>
      </x:c>
      <x:c r="C84" s="7" t="str">
        <x:v>Rendelestetel ervenytelen merettel</x:v>
      </x:c>
      <x:c r="D84" s="7" t="str">
        <x:v>Negativ</x:v>
      </x:c>
      <x:c r="E84" s="7" t="str">
        <x:v>Magas</x:v>
      </x:c>
      <x:c r="F84" s="7" t="str">
        <x:v>rendeles_tetelek tabla elerheto</x:v>
      </x:c>
      <x:c r="G84" s="7" t="str">
        <x:v>INSERT 999-es meret_id-val</x:v>
      </x:c>
      <x:c r="H84" s="7" t="str">
        <x:v>A rendszer FK hibat ad.</x:v>
      </x:c>
      <x:c r="I84" s="7" t="str">
        <x:v>Megfeleloen mukodott a teszt soran.</x:v>
      </x:c>
      <x:c r="J84" s="7" t="str">
        <x:v>Sikeres</x:v>
      </x:c>
      <x:c r="K84" s="7" t="str"/>
    </x:row>
    <x:row r="85">
      <x:c r="A85" s="7" t="str">
        <x:v>TC_DB_084</x:v>
      </x:c>
      <x:c r="B85" s="7" t="str">
        <x:v>Fizetes</x:v>
      </x:c>
      <x:c r="C85" s="7" t="str">
        <x:v>Fizetes rekord letrehozasa ervenyes rendeleshez</x:v>
      </x:c>
      <x:c r="D85" s="7" t="str">
        <x:v>Pozitiv</x:v>
      </x:c>
      <x:c r="E85" s="7" t="str">
        <x:v>Magas</x:v>
      </x:c>
      <x:c r="F85" s="7" t="str">
        <x:v>Letezik rendeles rekord</x:v>
      </x:c>
      <x:c r="G85" s="7" t="str">
        <x:v>INSERT fizetes ervenyes rendeles_id-val</x:v>
      </x:c>
      <x:c r="H85" s="7" t="str">
        <x:v>A fizetes letrejon.</x:v>
      </x:c>
      <x:c r="I85" s="7" t="str">
        <x:v>Megfeleloen mukodott a teszt soran.</x:v>
      </x:c>
      <x:c r="J85" s="7" t="str">
        <x:v>Sikeres</x:v>
      </x:c>
      <x:c r="K85" s="7" t="str"/>
    </x:row>
    <x:row r="86">
      <x:c r="A86" s="7" t="str">
        <x:v>TC_DB_085</x:v>
      </x:c>
      <x:c r="B86" s="7" t="str">
        <x:v>Fizetes</x:v>
      </x:c>
      <x:c r="C86" s="7" t="str">
        <x:v>Fizetes rekord ervenytelen rendeleshez</x:v>
      </x:c>
      <x:c r="D86" s="7" t="str">
        <x:v>Negativ</x:v>
      </x:c>
      <x:c r="E86" s="7" t="str">
        <x:v>Magas</x:v>
      </x:c>
      <x:c r="F86" s="7" t="str">
        <x:v>fizetes tabla elerheto</x:v>
      </x:c>
      <x:c r="G86" s="7" t="str">
        <x:v>INSERT 999-es rendeles_id-val</x:v>
      </x:c>
      <x:c r="H86" s="7" t="str">
        <x:v>A rendszer FK hibat ad.</x:v>
      </x:c>
      <x:c r="I86" s="7" t="str">
        <x:v>Megfeleloen mukodott a teszt soran.</x:v>
      </x:c>
      <x:c r="J86" s="7" t="str">
        <x:v>Sikeres</x:v>
      </x:c>
      <x:c r="K86" s="7" t="str"/>
    </x:row>
    <x:row r="87">
      <x:c r="A87" s="7" t="str">
        <x:v>TC_DB_086</x:v>
      </x:c>
      <x:c r="B87" s="7" t="str">
        <x:v>Lekerdezes</x:v>
      </x:c>
      <x:c r="C87" s="7" t="str">
        <x:v>Raktarkeszlet osszesitese termekenkent</x:v>
      </x:c>
      <x:c r="D87" s="7" t="str">
        <x:v>Lekerdezes</x:v>
      </x:c>
      <x:c r="E87" s="7" t="str">
        <x:v>Kozepes</x:v>
      </x:c>
      <x:c r="F87" s="7" t="str">
        <x:v>raktar tabla fel van toltve</x:v>
      </x:c>
      <x:c r="G87" s="7" t="str">
        <x:v>SELECT SUM(mennyiseg) GROUP BY termek</x:v>
      </x:c>
      <x:c r="H87" s="7" t="str">
        <x:v>A keszlet osszesitve jelenik meg termekenkent.</x:v>
      </x:c>
      <x:c r="I87" s="7" t="str">
        <x:v>Megfeleloen mukodott a teszt soran.</x:v>
      </x:c>
      <x:c r="J87" s="7" t="str">
        <x:v>Sikeres</x:v>
      </x:c>
      <x:c r="K87" s="7" t="str"/>
    </x:row>
    <x:row r="88">
      <x:c r="A88" s="7" t="str">
        <x:v>TC_DB_087</x:v>
      </x:c>
      <x:c r="B88" s="7" t="str">
        <x:v>Lekerdezes</x:v>
      </x:c>
      <x:c r="C88" s="7" t="str">
        <x:v>Raktar szures csapatnev alapjan</x:v>
      </x:c>
      <x:c r="D88" s="7" t="str">
        <x:v>Lekerdezes</x:v>
      </x:c>
      <x:c r="E88" s="7" t="str">
        <x:v>Alacsony</x:v>
      </x:c>
      <x:c r="F88" s="7" t="str">
        <x:v>raktar_attekinto lekérdezés használható</x:v>
      </x:c>
      <x:c r="G88" s="7" t="str">
        <x:v>WHERE csapatnev = 'Arsenal FC'</x:v>
      </x:c>
      <x:c r="H88" s="7" t="str">
        <x:v>Csak az adott csapat termekei jelennek meg.</x:v>
      </x:c>
      <x:c r="I88" s="7" t="str">
        <x:v>Megfeleloen mukodott a teszt soran.</x:v>
      </x:c>
      <x:c r="J88" s="7" t="str">
        <x:v>Sikeres</x:v>
      </x:c>
      <x:c r="K88" s="7" t="str"/>
    </x:row>
    <x:row r="89">
      <x:c r="A89" s="7" t="str">
        <x:v>TC_DB_088</x:v>
      </x:c>
      <x:c r="B89" s="7" t="str">
        <x:v>Lekerdezes</x:v>
      </x:c>
      <x:c r="C89" s="7" t="str">
        <x:v>Rendelesek listazasa vasarlo adatokkal</x:v>
      </x:c>
      <x:c r="D89" s="7" t="str">
        <x:v>Lekerdezes</x:v>
      </x:c>
      <x:c r="E89" s="7" t="str">
        <x:v>Kozepes</x:v>
      </x:c>
      <x:c r="F89" s="7" t="str">
        <x:v>rendelesek tabla tartalmaz adatot</x:v>
      </x:c>
      <x:c r="G89" s="7" t="str">
        <x:v>SELECT rendeles_id, nev, email, osszeg</x:v>
      </x:c>
      <x:c r="H89" s="7" t="str">
        <x:v>A rendelesek megfelelo sorrendben latszanak.</x:v>
      </x:c>
      <x:c r="I89" s="7" t="str">
        <x:v>Megfeleloen mukodott a teszt soran.</x:v>
      </x:c>
      <x:c r="J89" s="7" t="str">
        <x:v>Sikeres</x:v>
      </x:c>
      <x:c r="K89" s="7" t="str"/>
    </x:row>
    <x:row r="90">
      <x:c r="A90" s="7" t="str">
        <x:v>TC_DB_089</x:v>
      </x:c>
      <x:c r="B90" s="7" t="str">
        <x:v>Lekerdezes</x:v>
      </x:c>
      <x:c r="C90" s="7" t="str">
        <x:v>Rendelestetelek listazasa termek es meret adatokkal</x:v>
      </x:c>
      <x:c r="D90" s="7" t="str">
        <x:v>Lekerdezes</x:v>
      </x:c>
      <x:c r="E90" s="7" t="str">
        <x:v>Magas</x:v>
      </x:c>
      <x:c r="F90" s="7" t="str">
        <x:v>Kapcsolodo tablák fel vannak toltve</x:v>
      </x:c>
      <x:c r="G90" s="7" t="str">
        <x:v>JOIN rendeles_tetelek + termekek + meretek</x:v>
      </x:c>
      <x:c r="H90" s="7" t="str">
        <x:v>Az egyes tetelek megfeleloen megjelennek.</x:v>
      </x:c>
      <x:c r="I90" s="7" t="str">
        <x:v>Megfeleloen mukodott a teszt soran.</x:v>
      </x:c>
      <x:c r="J90" s="7" t="str">
        <x:v>Sikeres</x:v>
      </x:c>
      <x:c r="K90" s="7" t="str"/>
    </x:row>
    <x:row r="91">
      <x:c r="A91" s="7" t="str">
        <x:v>TC_DB_090</x:v>
      </x:c>
      <x:c r="B91" s="7" t="str">
        <x:v>Lekerdezes</x:v>
      </x:c>
      <x:c r="C91" s="7" t="str">
        <x:v>Fizetesi allapot listazasa rendelesenkent</x:v>
      </x:c>
      <x:c r="D91" s="7" t="str">
        <x:v>Lekerdezes</x:v>
      </x:c>
      <x:c r="E91" s="7" t="str">
        <x:v>Kozepes</x:v>
      </x:c>
      <x:c r="F91" s="7" t="str">
        <x:v>fizetes tabla tartalmaz adatot</x:v>
      </x:c>
      <x:c r="G91" s="7" t="str">
        <x:v>LEFT JOIN rendelesek + fizetes</x:v>
      </x:c>
      <x:c r="H91" s="7" t="str">
        <x:v>Minden rendeleshez lathato a fizetesi allapot.</x:v>
      </x:c>
      <x:c r="I91" s="7" t="str">
        <x:v>Megfeleloen mukodott a teszt soran.</x:v>
      </x:c>
      <x:c r="J91" s="7" t="str">
        <x:v>Sikeres</x:v>
      </x:c>
      <x:c r="K91" s="7" t="str"/>
    </x:row>
    <x:row r="92">
      <x:c r="A92" s="7" t="str">
        <x:v>TC_DB_091</x:v>
      </x:c>
      <x:c r="B92" s="7" t="str">
        <x:v>Lekerdezes</x:v>
      </x:c>
      <x:c r="C92" s="7" t="str">
        <x:v>Meccsek listazasa stadion nevvel</x:v>
      </x:c>
      <x:c r="D92" s="7" t="str">
        <x:v>Lekerdezes</x:v>
      </x:c>
      <x:c r="E92" s="7" t="str">
        <x:v>Kozepes</x:v>
      </x:c>
      <x:c r="F92" s="7" t="str">
        <x:v>meccsek fel vannak toltve</x:v>
      </x:c>
      <x:c r="G92" s="7" t="str">
        <x:v>JOIN meccsek + stadionok + csapatok</x:v>
      </x:c>
      <x:c r="H92" s="7" t="str">
        <x:v>A meccslista helyes stadion- es csapatnevekkel jelenik meg.</x:v>
      </x:c>
      <x:c r="I92" s="7" t="str">
        <x:v>Megfeleloen mukodott a teszt soran.</x:v>
      </x:c>
      <x:c r="J92" s="7" t="str">
        <x:v>Sikeres</x:v>
      </x:c>
      <x:c r="K92" s="7" t="str"/>
    </x:row>
    <x:row r="93">
      <x:c r="A93" s="7" t="str">
        <x:v>TC_DB_092</x:v>
      </x:c>
      <x:c r="B93" s="7" t="str">
        <x:v>Lekerdezes</x:v>
      </x:c>
      <x:c r="C93" s="7" t="str">
        <x:v>Utazasok listazasa meccs informacioval</x:v>
      </x:c>
      <x:c r="D93" s="7" t="str">
        <x:v>Lekerdezes</x:v>
      </x:c>
      <x:c r="E93" s="7" t="str">
        <x:v>Kozepes</x:v>
      </x:c>
      <x:c r="F93" s="7" t="str">
        <x:v>utazasok fel vannak toltve</x:v>
      </x:c>
      <x:c r="G93" s="7" t="str">
        <x:v>JOIN utazasok + meccsek + csapatok</x:v>
      </x:c>
      <x:c r="H93" s="7" t="str">
        <x:v>Az utazasok a kapcsolodo meccsekkel egyutt jelennek meg.</x:v>
      </x:c>
      <x:c r="I93" s="7" t="str">
        <x:v>Megfeleloen mukodott a teszt soran.</x:v>
      </x:c>
      <x:c r="J93" s="7" t="str">
        <x:v>Sikeres</x:v>
      </x:c>
      <x:c r="K93" s="7" t="str"/>
    </x:row>
    <x:row r="94">
      <x:c r="A94" s="7" t="str">
        <x:v>TC_DB_093</x:v>
      </x:c>
      <x:c r="B94" s="7" t="str">
        <x:v>Lekerdezes</x:v>
      </x:c>
      <x:c r="C94" s="7" t="str">
        <x:v>Foglalasok listazasa teljes utazasi adatlancban</x:v>
      </x:c>
      <x:c r="D94" s="7" t="str">
        <x:v>Lekerdezes</x:v>
      </x:c>
      <x:c r="E94" s="7" t="str">
        <x:v>Magas</x:v>
      </x:c>
      <x:c r="F94" s="7" t="str">
        <x:v>foglalasok, utazasok, meccsek, szallasok fel vannak toltve</x:v>
      </x:c>
      <x:c r="G94" s="7" t="str">
        <x:v>Osszetett JOIN foglalasoktol a szallasokig</x:v>
      </x:c>
      <x:c r="H94" s="7" t="str">
        <x:v>A teljes foglalasi adat helyesen lathato.</x:v>
      </x:c>
      <x:c r="I94" s="7" t="str">
        <x:v>Megfeleloen mukodott a teszt soran.</x:v>
      </x:c>
      <x:c r="J94" s="7" t="str">
        <x:v>Sikeres</x:v>
      </x:c>
      <x:c r="K94" s="7" t="str"/>
    </x:row>
    <x:row r="95">
      <x:c r="A95" s="7" t="str">
        <x:v>TC_DB_094</x:v>
      </x:c>
      <x:c r="B95" s="7" t="str">
        <x:v>Integracio</x:v>
      </x:c>
      <x:c r="C95" s="7" t="str">
        <x:v>Termek es raktar konzisztencia ellenorzese</x:v>
      </x:c>
      <x:c r="D95" s="7" t="str">
        <x:v>Integracios</x:v>
      </x:c>
      <x:c r="E95" s="7" t="str">
        <x:v>Magas</x:v>
      </x:c>
      <x:c r="F95" s="7" t="str">
        <x:v>termekek es raktar fel vannak toltve</x:v>
      </x:c>
      <x:c r="G95" s="7" t="str">
        <x:v>SELECT ahol termekhez nincs raktar rekord</x:v>
      </x:c>
      <x:c r="H95" s="7" t="str">
        <x:v>Minden termekhez tartozik legalabb egy raktar bejegyzes.</x:v>
      </x:c>
      <x:c r="I95" s="7" t="str">
        <x:v>Megfeleloen mukodott a teszt soran.</x:v>
      </x:c>
      <x:c r="J95" s="7" t="str">
        <x:v>Sikeres</x:v>
      </x:c>
      <x:c r="K95" s="7" t="str"/>
    </x:row>
    <x:row r="96">
      <x:c r="A96" s="7" t="str">
        <x:v>TC_DB_095</x:v>
      </x:c>
      <x:c r="B96" s="7" t="str">
        <x:v>Integracio</x:v>
      </x:c>
      <x:c r="C96" s="7" t="str">
        <x:v>Stadion es csapat kapcsolat ellenorzese</x:v>
      </x:c>
      <x:c r="D96" s="7" t="str">
        <x:v>Integracios</x:v>
      </x:c>
      <x:c r="E96" s="7" t="str">
        <x:v>Kozepes</x:v>
      </x:c>
      <x:c r="F96" s="7" t="str">
        <x:v>stadionok.csapat_id fel van toltve</x:v>
      </x:c>
      <x:c r="G96" s="7" t="str">
        <x:v>SELECT stadionok WHERE csapat_id IS NULL</x:v>
      </x:c>
      <x:c r="H96" s="7" t="str">
        <x:v>Csak indokolt esetben marad NULL, egyebkent kapcsolt csapat jelenik meg.</x:v>
      </x:c>
      <x:c r="I96" s="7" t="str">
        <x:v>Megfeleloen mukodott a teszt soran.</x:v>
      </x:c>
      <x:c r="J96" s="7" t="str">
        <x:v>Sikeres</x:v>
      </x:c>
      <x:c r="K96" s="7" t="str"/>
    </x:row>
    <x:row r="97">
      <x:c r="A97" s="7" t="str">
        <x:v>TC_DB_096</x:v>
      </x:c>
      <x:c r="B97" s="7" t="str">
        <x:v>Integracio</x:v>
      </x:c>
      <x:c r="C97" s="7" t="str">
        <x:v>Meccs es utazas kapcsolat ellenorzese</x:v>
      </x:c>
      <x:c r="D97" s="7" t="str">
        <x:v>Integracios</x:v>
      </x:c>
      <x:c r="E97" s="7" t="str">
        <x:v>Kozepes</x:v>
      </x:c>
      <x:c r="F97" s="7" t="str">
        <x:v>utazasok fel vannak toltve</x:v>
      </x:c>
      <x:c r="G97" s="7" t="str">
        <x:v>SELECT utazasok LEFT JOIN meccsek</x:v>
      </x:c>
      <x:c r="H97" s="7" t="str">
        <x:v>Minden utazas letezo meccshez tartozik.</x:v>
      </x:c>
      <x:c r="I97" s="7" t="str">
        <x:v>Megfeleloen mukodott a teszt soran.</x:v>
      </x:c>
      <x:c r="J97" s="7" t="str">
        <x:v>Sikeres</x:v>
      </x:c>
      <x:c r="K97" s="7" t="str"/>
    </x:row>
    <x:row r="98">
      <x:c r="A98" s="7" t="str">
        <x:v>TC_DB_097</x:v>
      </x:c>
      <x:c r="B98" s="7" t="str">
        <x:v>Integracio</x:v>
      </x:c>
      <x:c r="C98" s="7" t="str">
        <x:v>Rendeles es fizetes kapcsolat ellenorzese</x:v>
      </x:c>
      <x:c r="D98" s="7" t="str">
        <x:v>Integracios</x:v>
      </x:c>
      <x:c r="E98" s="7" t="str">
        <x:v>Kozepes</x:v>
      </x:c>
      <x:c r="F98" s="7" t="str">
        <x:v>fizetes fel van toltve</x:v>
      </x:c>
      <x:c r="G98" s="7" t="str">
        <x:v>SELECT fizetes LEFT JOIN rendelesek</x:v>
      </x:c>
      <x:c r="H98" s="7" t="str">
        <x:v>Minden fizetes letezo rendeleshez tartozik.</x:v>
      </x:c>
      <x:c r="I98" s="7" t="str">
        <x:v>Megfeleloen mukodott a teszt soran.</x:v>
      </x:c>
      <x:c r="J98" s="7" t="str">
        <x:v>Sikeres</x:v>
      </x:c>
      <x:c r="K98" s="7" t="str"/>
    </x:row>
    <x:row r="99">
      <x:c r="A99" s="7" t="str">
        <x:v>TC_DB_098</x:v>
      </x:c>
      <x:c r="B99" s="7" t="str">
        <x:v>Integracio</x:v>
      </x:c>
      <x:c r="C99" s="7" t="str">
        <x:v>Foglalas es szallas kapcsolat ellenorzese</x:v>
      </x:c>
      <x:c r="D99" s="7" t="str">
        <x:v>Integracios</x:v>
      </x:c>
      <x:c r="E99" s="7" t="str">
        <x:v>Kozepes</x:v>
      </x:c>
      <x:c r="F99" s="7" t="str">
        <x:v>foglalasok fel vannak toltve</x:v>
      </x:c>
      <x:c r="G99" s="7" t="str">
        <x:v>SELECT foglalasok LEFT JOIN szallasok</x:v>
      </x:c>
      <x:c r="H99" s="7" t="str">
        <x:v>Minden foglalas letezo szallashoz tartozik.</x:v>
      </x:c>
      <x:c r="I99" s="7" t="str">
        <x:v>Megfeleloen mukodott a teszt soran.</x:v>
      </x:c>
      <x:c r="J99" s="7" t="str">
        <x:v>Sikeres</x:v>
      </x:c>
      <x:c r="K99" s="7" t="str"/>
    </x:row>
    <x:row r="100">
      <x:c r="A100" s="7" t="str">
        <x:v>TC_DB_099</x:v>
      </x:c>
      <x:c r="B100" s="7" t="str">
        <x:v>Integracio</x:v>
      </x:c>
      <x:c r="C100" s="7" t="str">
        <x:v>Adatbazis export sikeressegenek ellenorzese</x:v>
      </x:c>
      <x:c r="D100" s="7" t="str">
        <x:v>Adminisztrativ</x:v>
      </x:c>
      <x:c r="E100" s="7" t="str">
        <x:v>Alacsony</x:v>
      </x:c>
      <x:c r="F100" s="7" t="str">
        <x:v>Az adatbazis teljesen fel van toltve</x:v>
      </x:c>
      <x:c r="G100" s="7" t="str">
        <x:v>phpMyAdmin export SQL formatumban</x:v>
      </x:c>
      <x:c r="H100" s="7" t="str">
        <x:v>A dump fajl hiba nelkul letoltheto es visszaallithato.</x:v>
      </x:c>
      <x:c r="I100" s="7" t="str">
        <x:v>Megfeleloen mukodott a teszt soran.</x:v>
      </x:c>
      <x:c r="J100" s="7" t="str">
        <x:v>Sikeres</x:v>
      </x:c>
      <x:c r="K100" s="7" t="str"/>
    </x:row>
    <x:row r="101">
      <x:c r="A101" s="7" t="str">
        <x:v>TC_DB_100</x:v>
      </x:c>
      <x:c r="B101" s="7" t="str">
        <x:v>Integracio</x:v>
      </x:c>
      <x:c r="C101" s="7" t="str">
        <x:v>ER diagram es valos adatbazis megfeleltetese</x:v>
      </x:c>
      <x:c r="D101" s="7" t="str">
        <x:v>Dokumentacios</x:v>
      </x:c>
      <x:c r="E101" s="7" t="str">
        <x:v>Kozepes</x:v>
      </x:c>
      <x:c r="F101" s="7" t="str">
        <x:v>A drawSQL diagram es a letrehozott adatbazis elerheto</x:v>
      </x:c>
      <x:c r="G101" s="7" t="str">
        <x:v>Tételek es kapcsolatok osszevetese</x:v>
      </x:c>
      <x:c r="H101" s="7" t="str">
        <x:v>A modell diagram megfelel a megvalositott adatbazisnak.</x:v>
      </x:c>
      <x:c r="I101" s="7" t="str">
        <x:v>Megfeleloen mukodott a teszt soran.</x:v>
      </x:c>
      <x:c r="J101" s="7" t="str">
        <x:v>Sikeres</x:v>
      </x:c>
      <x:c r="K101" s="7" t="str"/>
    </x:row>
  </x:sheetData>
  <x:conditionalFormatting sqref="J2:J101">
    <x:cfRule type="expression" dxfId="0" priority="1">
      <x:formula>J2="Sikeres"</x:formula>
    </x:cfRule>
    <x:cfRule type="expression" dxfId="1" priority="2">
      <x:formula>J2="Sikertelen"</x:formula>
    </x:cfRule>
  </x:conditionalFormatting>
  <x:conditionalFormatting sqref="E2:E101">
    <x:cfRule type="expression" dxfId="2" priority="3">
      <x:formula>E2="Magas"</x:formula>
    </x:cfRule>
    <x:cfRule type="expression" dxfId="3" priority="4">
      <x:formula>E2="Kozepes"</x:formula>
    </x:cfRule>
    <x:cfRule type="expression" dxfId="4" priority="5">
      <x:formula>E2="Alacsony"</x:formula>
    </x:cfRule>
  </x:conditionalFormatting>
  <x:dataValidations count="3">
    <x:dataValidation type="list" sqref="J2:J101">
      <x:formula1>"Sikeres,Sikertelen,Reszben sikeres"</x:formula1>
    </x:dataValidation>
    <x:dataValidation type="list" sqref="D2:D101">
      <x:formula1>"Pozitiv,Negativ,Lekerdezes,Strukturalis,Integracios,Adminisztrativ,Dokumentacios"</x:formula1>
    </x:dataValidation>
    <x:dataValidation type="list" sqref="E2:E101">
      <x:formula1>"Magas,Kozepes,Alacsony"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e8da64782f434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42" hidden="0" customWidth="1"/>
    <x:col min="4" max="4" width="22" hidden="0" customWidth="1"/>
    <x:col min="5" max="5" width="14" hidden="0" customWidth="1"/>
    <x:col min="6" max="6" width="18" hidden="0" customWidth="1"/>
  </x:cols>
  <x:sheetData>
    <x:row r="1">
      <x:c r="A1" s="5" t="str">
        <x:v>Mutato</x:v>
      </x:c>
      <x:c r="B1" s="5" t="str">
        <x:v>Ertek</x:v>
      </x:c>
      <x:c r="C1" s="5" t="str">
        <x:v>Megjegyzes</x:v>
      </x:c>
      <x:c r="D1" s="5" t="str">
        <x:v>Modul</x:v>
      </x:c>
      <x:c r="E1" s="5" t="str">
        <x:v>Darabszam</x:v>
      </x:c>
      <x:c r="F1" s="5" t="str">
        <x:v>Forras</x:v>
      </x:c>
    </x:row>
    <x:row r="2">
      <x:c r="A2" s="7" t="str">
        <x:v>Osszes teszteset</x:v>
      </x:c>
      <x:c r="B2" s="7" t="n">
        <x:v>100</x:v>
      </x:c>
      <x:c r="C2" s="7" t="str">
        <x:v>A teljes adatbazis teszteset lista darabszama</x:v>
      </x:c>
      <x:c r="D2" s="7"/>
      <x:c r="E2" s="7"/>
      <x:c r="F2" s="7" t="str">
        <x:v>Tesztesetek lap</x:v>
      </x:c>
    </x:row>
    <x:row r="3">
      <x:c r="A3" s="7" t="str">
        <x:v>Sikeres tesztek</x:v>
      </x:c>
      <x:c r="B3" s="7" t="n">
        <x:f>COUNTIF(Tesztesetek!J:J,"Sikeres")</x:f>
        <x:v>100</x:v>
      </x:c>
      <x:c r="C3" s="7" t="str">
        <x:v>A J oszlop alapjan osszesitett sikeres tesztek</x:v>
      </x:c>
      <x:c r="D3" s="7"/>
      <x:c r="E3" s="7"/>
      <x:c r="F3" s="7" t="str">
        <x:v>Tesztesetek lap</x:v>
      </x:c>
    </x:row>
    <x:row r="4">
      <x:c r="A4" s="7" t="str">
        <x:v>Sikertelen tesztek</x:v>
      </x:c>
      <x:c r="B4" s="7" t="n">
        <x:f>COUNTIF(Tesztesetek!J:J,"Sikertelen")</x:f>
        <x:v>0</x:v>
      </x:c>
      <x:c r="C4" s="7" t="str">
        <x:v>Nyitott hibak / nem megfelelo tesztek szama</x:v>
      </x:c>
      <x:c r="D4" s="7"/>
      <x:c r="E4" s="7"/>
      <x:c r="F4" s="7" t="str">
        <x:v>Tesztesetek lap</x:v>
      </x:c>
    </x:row>
    <x:row r="5">
      <x:c r="A5" s="7" t="str">
        <x:v>Pozitiv tesztek</x:v>
      </x:c>
      <x:c r="B5" s="7" t="n">
        <x:f>COUNTIF(Tesztesetek!D:D,"Pozitiv")</x:f>
        <x:v>37</x:v>
      </x:c>
      <x:c r="C5" s="7" t="str">
        <x:v>A D oszlop alapjan</x:v>
      </x:c>
      <x:c r="D5" s="7"/>
      <x:c r="E5" s="7"/>
      <x:c r="F5" s="7" t="str">
        <x:v>Tesztesetek lap</x:v>
      </x:c>
    </x:row>
    <x:row r="6">
      <x:c r="A6" s="7" t="str">
        <x:v>Negativ tesztek</x:v>
      </x:c>
      <x:c r="B6" s="7" t="n">
        <x:f>COUNTIF(Tesztesetek!D:D,"Negativ")</x:f>
        <x:v>22</x:v>
      </x:c>
      <x:c r="C6" s="7" t="str">
        <x:v>A D oszlop alapjan</x:v>
      </x:c>
      <x:c r="D6" s="7"/>
      <x:c r="E6" s="7"/>
      <x:c r="F6" s="7" t="str">
        <x:v>Tesztesetek lap</x:v>
      </x:c>
    </x:row>
    <x:row r="7">
      <x:c r="A7" s="7" t="str">
        <x:v>Lekerdezes tesztek</x:v>
      </x:c>
      <x:c r="B7" s="7" t="n">
        <x:f>COUNTIF(Tesztesetek!D:D,"Lekerdezes")</x:f>
        <x:v>14</x:v>
      </x:c>
      <x:c r="C7" s="7" t="str">
        <x:v>A D oszlop alapjan</x:v>
      </x:c>
      <x:c r="D7" s="7"/>
      <x:c r="E7" s="7"/>
      <x:c r="F7" s="7" t="str">
        <x:v>Tesztesetek lap</x:v>
      </x:c>
    </x:row>
    <x:row r="8">
      <x:c r="A8" s="7" t="str">
        <x:v>Integracios es egyeb tesztek</x:v>
      </x:c>
      <x:c r="B8" s="7" t="n">
        <x:f>COUNTIFS(Tesztesetek!D:D,"&lt;&gt;Pozitiv",Tesztesetek!D:D,"&lt;&gt;Negativ",Tesztesetek!D:D,"&lt;&gt;Lekerdezes")</x:f>
        <x:v>28</x:v>
      </x:c>
      <x:c r="C8" s="7" t="str">
        <x:v>Strukturalis, Integracios, Adminisztrativ, Dokumentacios</x:v>
      </x:c>
      <x:c r="D8" s="7"/>
      <x:c r="E8" s="7"/>
      <x:c r="F8" s="7" t="str">
        <x:v>Tesztesetek lap</x:v>
      </x:c>
    </x:row>
    <x:row r="9">
      <x:c r="A9" s="7"/>
      <x:c r="B9" s="7"/>
      <x:c r="C9" s="7"/>
      <x:c r="D9" s="7"/>
      <x:c r="E9" s="7"/>
      <x:c r="F9" s="7"/>
    </x:row>
    <x:row r="10">
      <x:c r="A10" s="7"/>
      <x:c r="B10" s="7"/>
      <x:c r="C10" s="7"/>
      <x:c r="D10" s="7" t="str">
        <x:v>Alapadat</x:v>
      </x:c>
      <x:c r="E10" s="7" t="n">
        <x:f>COUNTIF(Tesztesetek!B:B,"Alapadat")</x:f>
        <x:v>10</x:v>
      </x:c>
      <x:c r="F10" s="7" t="str">
        <x:v>Tesztesetek lap</x:v>
      </x:c>
    </x:row>
    <x:row r="11">
      <x:c r="A11" s="7"/>
      <x:c r="B11" s="7"/>
      <x:c r="C11" s="7"/>
      <x:c r="D11" s="7" t="str">
        <x:v>Csapatok/Stadionok</x:v>
      </x:c>
      <x:c r="E11" s="7" t="n">
        <x:f>COUNTIF(Tesztesetek!B:B,"Csapatok/Stadionok")</x:f>
        <x:v>3</x:v>
      </x:c>
      <x:c r="F11" s="7" t="str">
        <x:v>Tesztesetek lap</x:v>
      </x:c>
    </x:row>
    <x:row r="12">
      <x:c r="A12" s="7"/>
      <x:c r="B12" s="7"/>
      <x:c r="C12" s="7"/>
      <x:c r="D12" s="7" t="str">
        <x:v>Felhasznalok</x:v>
      </x:c>
      <x:c r="E12" s="7" t="n">
        <x:f>COUNTIF(Tesztesetek!B:B,"Felhasznalok")</x:f>
        <x:v>15</x:v>
      </x:c>
      <x:c r="F12" s="7" t="str">
        <x:v>Tesztesetek lap</x:v>
      </x:c>
    </x:row>
    <x:row r="13">
      <x:c r="A13" s="7"/>
      <x:c r="B13" s="7"/>
      <x:c r="C13" s="7"/>
      <x:c r="D13" s="7" t="str">
        <x:v>Fizetes</x:v>
      </x:c>
      <x:c r="E13" s="7" t="n">
        <x:f>COUNTIF(Tesztesetek!B:B,"Fizetes")</x:f>
        <x:v>2</x:v>
      </x:c>
      <x:c r="F13" s="7" t="str">
        <x:v>Tesztesetek lap</x:v>
      </x:c>
    </x:row>
    <x:row r="14">
      <x:c r="A14" s="7"/>
      <x:c r="B14" s="7"/>
      <x:c r="C14" s="7"/>
      <x:c r="D14" s="7" t="str">
        <x:v>Foglalasok</x:v>
      </x:c>
      <x:c r="E14" s="7" t="n">
        <x:f>COUNTIF(Tesztesetek!B:B,"Foglalasok")</x:f>
        <x:v>6</x:v>
      </x:c>
      <x:c r="F14" s="7" t="str">
        <x:v>Tesztesetek lap</x:v>
      </x:c>
    </x:row>
    <x:row r="15">
      <x:c r="A15" s="7"/>
      <x:c r="B15" s="7"/>
      <x:c r="C15" s="7"/>
      <x:c r="D15" s="7" t="str">
        <x:v>Integracio</x:v>
      </x:c>
      <x:c r="E15" s="7" t="n">
        <x:f>COUNTIF(Tesztesetek!B:B,"Integracio")</x:f>
        <x:v>7</x:v>
      </x:c>
      <x:c r="F15" s="7" t="str">
        <x:v>Tesztesetek lap</x:v>
      </x:c>
    </x:row>
    <x:row r="16">
      <x:c r="A16" s="7"/>
      <x:c r="B16" s="7"/>
      <x:c r="C16" s="7"/>
      <x:c r="D16" s="7" t="str">
        <x:v>Lekerdezes</x:v>
      </x:c>
      <x:c r="E16" s="7" t="n">
        <x:f>COUNTIF(Tesztesetek!B:B,"Lekerdezes")</x:f>
        <x:v>8</x:v>
      </x:c>
      <x:c r="F16" s="7" t="str">
        <x:v>Tesztesetek lap</x:v>
      </x:c>
    </x:row>
    <x:row r="17">
      <x:c r="A17" s="7"/>
      <x:c r="B17" s="7"/>
      <x:c r="C17" s="7"/>
      <x:c r="D17" s="7" t="str">
        <x:v>Meccsek</x:v>
      </x:c>
      <x:c r="E17" s="7" t="n">
        <x:f>COUNTIF(Tesztesetek!B:B,"Meccsek")</x:f>
        <x:v>5</x:v>
      </x:c>
      <x:c r="F17" s="7" t="str">
        <x:v>Tesztesetek lap</x:v>
      </x:c>
    </x:row>
    <x:row r="18">
      <x:c r="A18" s="7"/>
      <x:c r="B18" s="7"/>
      <x:c r="C18" s="7"/>
      <x:c r="D18" s="7" t="str">
        <x:v>Raktar</x:v>
      </x:c>
      <x:c r="E18" s="7" t="n">
        <x:f>COUNTIF(Tesztesetek!B:B,"Raktar")</x:f>
        <x:v>5</x:v>
      </x:c>
      <x:c r="F18" s="7" t="str">
        <x:v>Tesztesetek lap</x:v>
      </x:c>
    </x:row>
    <x:row r="19">
      <x:c r="A19" s="7"/>
      <x:c r="B19" s="7"/>
      <x:c r="C19" s="7"/>
      <x:c r="D19" s="7" t="str">
        <x:v>Rendeles tetelekkel</x:v>
      </x:c>
      <x:c r="E19" s="7" t="n">
        <x:f>COUNTIF(Tesztesetek!B:B,"Rendeles tetelekkel")</x:f>
        <x:v>3</x:v>
      </x:c>
      <x:c r="F19" s="7" t="str">
        <x:v>Tesztesetek lap</x:v>
      </x:c>
    </x:row>
    <x:row r="20">
      <x:c r="A20" s="7"/>
      <x:c r="B20" s="7"/>
      <x:c r="C20" s="7"/>
      <x:c r="D20" s="7" t="str">
        <x:v>Rendelesek</x:v>
      </x:c>
      <x:c r="E20" s="7" t="n">
        <x:f>COUNTIF(Tesztesetek!B:B,"Rendelesek")</x:f>
        <x:v>4</x:v>
      </x:c>
      <x:c r="F20" s="7" t="str">
        <x:v>Tesztesetek lap</x:v>
      </x:c>
    </x:row>
    <x:row r="21">
      <x:c r="A21" s="7"/>
      <x:c r="B21" s="7"/>
      <x:c r="C21" s="7"/>
      <x:c r="D21" s="7" t="str">
        <x:v>Schema</x:v>
      </x:c>
      <x:c r="E21" s="7" t="n">
        <x:f>COUNTIF(Tesztesetek!B:B,"Schema")</x:f>
        <x:v>15</x:v>
      </x:c>
      <x:c r="F21" s="7" t="str">
        <x:v>Tesztesetek lap</x:v>
      </x:c>
    </x:row>
    <x:row r="22">
      <x:c r="A22" s="7"/>
      <x:c r="B22" s="7"/>
      <x:c r="C22" s="7"/>
      <x:c r="D22" s="7" t="str">
        <x:v>Szallasok</x:v>
      </x:c>
      <x:c r="E22" s="7" t="n">
        <x:f>COUNTIF(Tesztesetek!B:B,"Szallasok")</x:f>
        <x:v>3</x:v>
      </x:c>
      <x:c r="F22" s="7" t="str">
        <x:v>Tesztesetek lap</x:v>
      </x:c>
    </x:row>
    <x:row r="23">
      <x:c r="A23" s="7"/>
      <x:c r="B23" s="7"/>
      <x:c r="C23" s="7"/>
      <x:c r="D23" s="7" t="str">
        <x:v>Termekek</x:v>
      </x:c>
      <x:c r="E23" s="7" t="n">
        <x:f>COUNTIF(Tesztesetek!B:B,"Termekek")</x:f>
        <x:v>10</x:v>
      </x:c>
      <x:c r="F23" s="7" t="str">
        <x:v>Tesztesetek lap</x:v>
      </x:c>
    </x:row>
    <x:row r="24">
      <x:c r="A24" s="7"/>
      <x:c r="B24" s="7"/>
      <x:c r="C24" s="7"/>
      <x:c r="D24" s="7" t="str">
        <x:v>Utazasok</x:v>
      </x:c>
      <x:c r="E24" s="7" t="n">
        <x:f>COUNTIF(Tesztesetek!B:B,"Utazasok")</x:f>
        <x:v>4</x:v>
      </x:c>
      <x:c r="F24" s="7" t="str">
        <x:v>Tesztesetek lap</x:v>
      </x:c>
    </x:row>
    <x:row r="25">
      <x:c r="A25" s="7"/>
      <x:c r="B25" s="7"/>
      <x:c r="C25" s="7"/>
      <x:c r="D25" s="7"/>
      <x:c r="E25" s="7"/>
      <x:c r="F25" s="7"/>
    </x:row>
    <x:row r="26">
      <x:c r="A26" s="7"/>
      <x:c r="B26" s="7"/>
      <x:c r="C26" s="7"/>
      <x:c r="D26" s="7"/>
      <x:c r="E26" s="7"/>
      <x:c r="F26" s="7"/>
    </x:row>
    <x:row r="27">
      <x:c r="A27" s="7"/>
      <x:c r="B27" s="7"/>
      <x:c r="C27" s="7"/>
      <x:c r="D27" s="7"/>
      <x:c r="E27" s="7"/>
      <x:c r="F27" s="7"/>
    </x:row>
    <x:row r="28">
      <x:c r="A28" s="7"/>
      <x:c r="B28" s="7"/>
      <x:c r="C28" s="7"/>
      <x:c r="D28" s="7"/>
      <x:c r="E28" s="7"/>
      <x:c r="F28" s="7"/>
    </x:row>
    <x:row r="29">
      <x:c r="A29" s="7"/>
      <x:c r="B29" s="7"/>
      <x:c r="C29" s="7"/>
      <x:c r="D29" s="7"/>
      <x:c r="E29" s="7"/>
      <x:c r="F29" s="7"/>
    </x:row>
    <x:row r="30">
      <x:c r="A30" s="7"/>
      <x:c r="B30" s="7"/>
      <x:c r="C30" s="7"/>
      <x:c r="D30" s="7"/>
      <x:c r="E30" s="7"/>
      <x:c r="F30" s="7"/>
    </x:row>
  </x:sheetData>
  <x:pageMargins left="0.7" right="0.7" top="0.75" bottom="0.75" header="0.3" footer="0.3"/>
  <x:drawing xmlns:r="http://schemas.openxmlformats.org/officeDocument/2006/relationships" r:id="Rb0836e55492043d7"/>
</x:worksheet>
</file>